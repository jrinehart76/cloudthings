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8"/>
  <workbookPr defaultThemeVersion="166925"/>
  <mc:AlternateContent xmlns:mc="http://schemas.openxmlformats.org/markup-compatibility/2006">
    <mc:Choice Requires="x15">
      <x15ac:absPath xmlns:x15ac="http://schemas.microsoft.com/office/spreadsheetml/2010/11/ac" url="/Users/martinlee/Downloads/"/>
    </mc:Choice>
  </mc:AlternateContent>
  <xr:revisionPtr revIDLastSave="32" documentId="13_ncr:1_{DC20218F-6317-CD43-AF88-114B1AD22048}" xr6:coauthVersionLast="46" xr6:coauthVersionMax="46" xr10:uidLastSave="{919D2ABD-518A-41F8-99C3-DCF35B0BBF63}"/>
  <bookViews>
    <workbookView xWindow="40" yWindow="500" windowWidth="35340" windowHeight="19600" tabRatio="533" firstSheet="2" activeTab="3" xr2:uid="{B65BB044-7231-3D4E-9510-6D319F990829}"/>
  </bookViews>
  <sheets>
    <sheet name="Instructions" sheetId="13" r:id="rId1"/>
    <sheet name="Tags" sheetId="14" r:id="rId2"/>
    <sheet name="HUB - WestUS" sheetId="2" r:id="rId3"/>
    <sheet name="SPOKE - NonProd" sheetId="12" r:id="rId4"/>
  </sheets>
  <definedNames>
    <definedName name="_xlnm._FilterDatabase" localSheetId="2" hidden="1">'HUB - WestUS'!$B$53:$Z$81</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0" i="12" l="1"/>
  <c r="C57" i="12"/>
  <c r="B57" i="12"/>
  <c r="B58" i="12"/>
  <c r="B59" i="12"/>
  <c r="C58" i="12"/>
  <c r="F44" i="2"/>
  <c r="F45" i="2"/>
  <c r="C83" i="2" l="1"/>
  <c r="B83" i="2"/>
  <c r="C66" i="12" l="1"/>
  <c r="B66" i="12"/>
  <c r="C65" i="12"/>
  <c r="B65" i="12"/>
  <c r="C64" i="12"/>
  <c r="B64" i="12"/>
  <c r="C63" i="12"/>
  <c r="B63" i="12"/>
  <c r="C62" i="12"/>
  <c r="B62" i="12"/>
  <c r="C61" i="12"/>
  <c r="B61" i="12"/>
  <c r="C60" i="12"/>
  <c r="B60" i="12"/>
  <c r="I59" i="12"/>
  <c r="H59" i="12"/>
  <c r="C59" i="12"/>
  <c r="K36" i="12"/>
  <c r="E66" i="12" s="1"/>
  <c r="F33" i="12"/>
  <c r="E33" i="12"/>
  <c r="D33" i="12"/>
  <c r="F32" i="12"/>
  <c r="E32" i="12"/>
  <c r="D32" i="12"/>
  <c r="F31" i="12"/>
  <c r="E31" i="12"/>
  <c r="D31" i="12"/>
  <c r="F30" i="12"/>
  <c r="E30" i="12"/>
  <c r="D30" i="12"/>
  <c r="F29" i="12"/>
  <c r="E29" i="12"/>
  <c r="D29" i="12"/>
  <c r="F28" i="12"/>
  <c r="E28" i="12"/>
  <c r="D28" i="12"/>
  <c r="F27" i="12"/>
  <c r="E27" i="12"/>
  <c r="D27" i="12"/>
  <c r="L27" i="12" s="1"/>
  <c r="F26" i="12"/>
  <c r="E26" i="12"/>
  <c r="D26" i="12"/>
  <c r="F23" i="12"/>
  <c r="E23" i="12"/>
  <c r="D23" i="12"/>
  <c r="F22" i="12"/>
  <c r="E22" i="12"/>
  <c r="D22" i="12"/>
  <c r="F21" i="12"/>
  <c r="E21" i="12"/>
  <c r="D21" i="12"/>
  <c r="F20" i="12"/>
  <c r="E20" i="12"/>
  <c r="D20" i="12"/>
  <c r="F19" i="12"/>
  <c r="E19" i="12"/>
  <c r="D19" i="12"/>
  <c r="C82" i="2"/>
  <c r="B82" i="2"/>
  <c r="C81" i="2"/>
  <c r="B81" i="2"/>
  <c r="C80" i="2"/>
  <c r="B80" i="2"/>
  <c r="C79" i="2"/>
  <c r="B79" i="2"/>
  <c r="C78" i="2"/>
  <c r="B78" i="2"/>
  <c r="C77" i="2"/>
  <c r="B77" i="2"/>
  <c r="C76" i="2"/>
  <c r="B76" i="2"/>
  <c r="C75" i="2"/>
  <c r="B75" i="2"/>
  <c r="C74" i="2"/>
  <c r="B74" i="2"/>
  <c r="C73" i="2"/>
  <c r="B73" i="2"/>
  <c r="C72" i="2"/>
  <c r="B72" i="2"/>
  <c r="C71" i="2"/>
  <c r="B71" i="2"/>
  <c r="C70" i="2"/>
  <c r="B70" i="2"/>
  <c r="C69" i="2"/>
  <c r="B69" i="2"/>
  <c r="C68" i="2"/>
  <c r="B68" i="2"/>
  <c r="C67" i="2"/>
  <c r="B67" i="2"/>
  <c r="C66" i="2"/>
  <c r="B66" i="2"/>
  <c r="C65" i="2"/>
  <c r="B65" i="2"/>
  <c r="C64" i="2"/>
  <c r="B64" i="2"/>
  <c r="C63" i="2"/>
  <c r="B63" i="2"/>
  <c r="C62" i="2"/>
  <c r="B62" i="2"/>
  <c r="C61" i="2"/>
  <c r="B61" i="2"/>
  <c r="K33" i="2"/>
  <c r="E64" i="2" s="1"/>
  <c r="M80" i="2"/>
  <c r="M79" i="2"/>
  <c r="I59" i="2"/>
  <c r="C58" i="2"/>
  <c r="B58" i="2"/>
  <c r="C57" i="2"/>
  <c r="B57" i="2"/>
  <c r="C56" i="2"/>
  <c r="B56" i="2"/>
  <c r="C55" i="2"/>
  <c r="B55" i="2"/>
  <c r="E42" i="2"/>
  <c r="D42" i="2"/>
  <c r="H60" i="2"/>
  <c r="H59" i="2"/>
  <c r="C60" i="2"/>
  <c r="B60" i="2"/>
  <c r="C59" i="2"/>
  <c r="B59" i="2"/>
  <c r="C54" i="2"/>
  <c r="B54" i="2"/>
  <c r="K19" i="12" l="1"/>
  <c r="J59" i="12" s="1"/>
  <c r="K22" i="12"/>
  <c r="K20" i="12"/>
  <c r="K27" i="12"/>
  <c r="G60" i="12" s="1"/>
  <c r="K23" i="12"/>
  <c r="E61" i="12"/>
  <c r="E63" i="12"/>
  <c r="K33" i="12"/>
  <c r="K21" i="12"/>
  <c r="K26" i="12"/>
  <c r="E59" i="12" s="1"/>
  <c r="L59" i="12" s="1"/>
  <c r="K42" i="2"/>
  <c r="E75" i="2" s="1"/>
  <c r="E45" i="2"/>
  <c r="D45" i="2"/>
  <c r="E44" i="2"/>
  <c r="D44" i="2"/>
  <c r="E43" i="2"/>
  <c r="D43" i="2"/>
  <c r="F39" i="2"/>
  <c r="E39" i="2"/>
  <c r="D39" i="2"/>
  <c r="F38" i="2"/>
  <c r="E38" i="2"/>
  <c r="D38" i="2"/>
  <c r="K37" i="2"/>
  <c r="K36" i="2"/>
  <c r="F30" i="2"/>
  <c r="E30" i="2"/>
  <c r="D30" i="2"/>
  <c r="F29" i="2"/>
  <c r="E29" i="2"/>
  <c r="D29" i="2"/>
  <c r="F28" i="2"/>
  <c r="E28" i="2"/>
  <c r="D28" i="2"/>
  <c r="F27" i="2"/>
  <c r="E27" i="2"/>
  <c r="D27" i="2"/>
  <c r="F26" i="2"/>
  <c r="E26" i="2"/>
  <c r="D26" i="2"/>
  <c r="F23" i="2"/>
  <c r="E23" i="2"/>
  <c r="D23" i="2"/>
  <c r="F22" i="2"/>
  <c r="E22" i="2"/>
  <c r="D22" i="2"/>
  <c r="F21" i="2"/>
  <c r="E21" i="2"/>
  <c r="D21" i="2"/>
  <c r="F20" i="2"/>
  <c r="E20" i="2"/>
  <c r="D20" i="2"/>
  <c r="F19" i="2"/>
  <c r="E19" i="2"/>
  <c r="D19" i="2"/>
  <c r="L27" i="2" l="1"/>
  <c r="K26" i="2"/>
  <c r="J60" i="12"/>
  <c r="J64" i="12"/>
  <c r="E58" i="12"/>
  <c r="J63" i="12"/>
  <c r="J62" i="12"/>
  <c r="J66" i="12"/>
  <c r="G62" i="12"/>
  <c r="E62" i="12"/>
  <c r="E64" i="12"/>
  <c r="G64" i="12"/>
  <c r="G63" i="12"/>
  <c r="E70" i="2"/>
  <c r="E77" i="2"/>
  <c r="E71" i="2"/>
  <c r="E69" i="2"/>
  <c r="E74" i="2"/>
  <c r="E72" i="2"/>
  <c r="E73" i="2"/>
  <c r="E68" i="2"/>
  <c r="E67" i="2"/>
  <c r="E76" i="2"/>
  <c r="E61" i="2"/>
  <c r="K44" i="2"/>
  <c r="E66" i="2" s="1"/>
  <c r="K22" i="2"/>
  <c r="K38" i="2"/>
  <c r="E81" i="2" s="1"/>
  <c r="K27" i="2"/>
  <c r="G60" i="2" s="1"/>
  <c r="K19" i="2"/>
  <c r="J83" i="2" s="1"/>
  <c r="K23" i="2"/>
  <c r="K21" i="2"/>
  <c r="K39" i="2"/>
  <c r="E82" i="2" s="1"/>
  <c r="K43" i="2"/>
  <c r="E65" i="2" s="1"/>
  <c r="K20" i="2"/>
  <c r="K45" i="2"/>
  <c r="E78" i="2" s="1"/>
  <c r="E59" i="2" l="1"/>
  <c r="L59" i="2" s="1"/>
  <c r="G62" i="2"/>
  <c r="E57" i="2"/>
  <c r="J73" i="2"/>
  <c r="J71" i="2"/>
  <c r="J70" i="2"/>
  <c r="J69" i="2"/>
  <c r="J72" i="2"/>
  <c r="J78" i="2"/>
  <c r="J77" i="2"/>
  <c r="J76" i="2"/>
  <c r="J68" i="2"/>
  <c r="J75" i="2"/>
  <c r="J67" i="2"/>
  <c r="J74" i="2"/>
  <c r="E58" i="2"/>
  <c r="J81" i="2"/>
  <c r="J79" i="2"/>
  <c r="J80" i="2"/>
  <c r="J82" i="2"/>
  <c r="J62" i="2"/>
  <c r="J60" i="2"/>
  <c r="J59" i="2"/>
  <c r="E54" i="2"/>
  <c r="E62" i="2"/>
  <c r="E56" i="2"/>
  <c r="J66" i="2"/>
  <c r="J65" i="2"/>
  <c r="E55" i="2"/>
  <c r="J64" i="2"/>
</calcChain>
</file>

<file path=xl/sharedStrings.xml><?xml version="1.0" encoding="utf-8"?>
<sst xmlns="http://schemas.openxmlformats.org/spreadsheetml/2006/main" count="489" uniqueCount="178">
  <si>
    <r>
      <rPr>
        <b/>
        <sz val="16"/>
        <color theme="1"/>
        <rFont val="Calibri"/>
        <family val="2"/>
        <scheme val="minor"/>
      </rPr>
      <t xml:space="preserve">Instructions
</t>
    </r>
    <r>
      <rPr>
        <sz val="12"/>
        <color theme="1"/>
        <rFont val="Calibri"/>
        <family val="2"/>
        <scheme val="minor"/>
      </rPr>
      <t xml:space="preserve">
1. Start by filling out the tags sheet with all of the base tags that will be applied to the resources that are deployed.
2. Fill out the HUB spreadsheet. Fill out the resource setup details, then expand the group to open the resource naming builder. Make any changes to the white sections as needed to build proper naming.
3. Review the resource list and review/fill any settings cells that are highlighted yellow.
4. Add any custom resources to be deployed to the custom resources list, if required.
5. Copy and paste the HUB spreadsheet to make as many HUB environments as required.
6. Fill out the first SPOKE spreadsheet and review the resource lists as you did with the HUBs.
7. Copy and paste the SPOKE spredsheet to make as many SPOKE environments as required.</t>
    </r>
  </si>
  <si>
    <t>Start by filling out the tags sheet with all of the base tags that will be applied to the resources that are deployed.</t>
  </si>
  <si>
    <t>Fill out the HUB spreadsheet. Fill out the resource setup details, then expand the group to open the resource naming builder. Make any changes to the white sections as needed to build proper naming.</t>
  </si>
  <si>
    <t>Review the resource list and review/fill any settings cells that are highlighted yellow.</t>
  </si>
  <si>
    <t>Add any custom resources to be deployed to the custom resources list, if required.</t>
  </si>
  <si>
    <t>Copy and paste the HUB spreadsheet to make as many HUB environments as required.</t>
  </si>
  <si>
    <t>Fill out the first SPOKE spreadsheet and review the resource lists as you did with the HUBs.</t>
  </si>
  <si>
    <t>Copy and paste the SPOKE spredsheet to make as many SPOKE environments as required.</t>
  </si>
  <si>
    <r>
      <t xml:space="preserve">Default Tags List
</t>
    </r>
    <r>
      <rPr>
        <sz val="12"/>
        <rFont val="Calibri"/>
        <family val="2"/>
        <scheme val="minor"/>
      </rPr>
      <t>These tags will be added to all resources in the deployment. These are just examples, add/modify as needed. If separate tags are needed for separate environments, create a new list.</t>
    </r>
  </si>
  <si>
    <t>Tag Name</t>
  </si>
  <si>
    <t>Value</t>
  </si>
  <si>
    <t>Environment</t>
  </si>
  <si>
    <t>Shared</t>
  </si>
  <si>
    <t>Application</t>
  </si>
  <si>
    <t>Infrastructure</t>
  </si>
  <si>
    <t>CreatedBy</t>
  </si>
  <si>
    <t>10th Magnitude</t>
  </si>
  <si>
    <t>CostCenter</t>
  </si>
  <si>
    <t>Department</t>
  </si>
  <si>
    <t>IT Infrastructure</t>
  </si>
  <si>
    <t>Resource Setup</t>
  </si>
  <si>
    <t>Enter the environment info for this sheet, it will autofill positions in the shared resources list below.</t>
  </si>
  <si>
    <t>Subscription Name</t>
  </si>
  <si>
    <t>Region</t>
  </si>
  <si>
    <t>West US</t>
  </si>
  <si>
    <t>HUB/Spoke</t>
  </si>
  <si>
    <t>AZ</t>
  </si>
  <si>
    <t>HUB Name (if spoke)</t>
  </si>
  <si>
    <t>The following are shared across all resources and will autofill positions in the resource names below.</t>
  </si>
  <si>
    <t>Prefix</t>
  </si>
  <si>
    <t>Region Code</t>
  </si>
  <si>
    <t>UW1</t>
  </si>
  <si>
    <t>ENV Label</t>
  </si>
  <si>
    <t>SHRDSVC</t>
  </si>
  <si>
    <t>&lt;- Expand / Collapse Forumulator</t>
  </si>
  <si>
    <t>Naming Builder</t>
  </si>
  <si>
    <t>Formulated Naming Values</t>
  </si>
  <si>
    <t>Additional Settings</t>
  </si>
  <si>
    <t>Resource Groups</t>
  </si>
  <si>
    <t>Resource Type</t>
  </si>
  <si>
    <t>Usage</t>
  </si>
  <si>
    <t>Resource Label</t>
  </si>
  <si>
    <t>Suffix</t>
  </si>
  <si>
    <t>Name</t>
  </si>
  <si>
    <t>Resource Group</t>
  </si>
  <si>
    <t>Networking</t>
  </si>
  <si>
    <t>NETWORK</t>
  </si>
  <si>
    <t>RG</t>
  </si>
  <si>
    <t>Admin</t>
  </si>
  <si>
    <t>ADMIN</t>
  </si>
  <si>
    <t>Backups</t>
  </si>
  <si>
    <t>BACKUP</t>
  </si>
  <si>
    <t>Monitoring</t>
  </si>
  <si>
    <t>MONITORING</t>
  </si>
  <si>
    <t>ADDS</t>
  </si>
  <si>
    <t>Subnet Label</t>
  </si>
  <si>
    <t>ID</t>
  </si>
  <si>
    <t>CIDR</t>
  </si>
  <si>
    <t>NSG Name</t>
  </si>
  <si>
    <t>DNS Servers</t>
  </si>
  <si>
    <t>VNET</t>
  </si>
  <si>
    <t>HUB VNET</t>
  </si>
  <si>
    <t>VN</t>
  </si>
  <si>
    <t>_10.62.0.0_16</t>
  </si>
  <si>
    <t>Default</t>
  </si>
  <si>
    <t>Subnet</t>
  </si>
  <si>
    <t>SERVERS</t>
  </si>
  <si>
    <t>SN</t>
  </si>
  <si>
    <t>_10.62.20.0_24</t>
  </si>
  <si>
    <t>Management</t>
  </si>
  <si>
    <t>Extra (if needed)</t>
  </si>
  <si>
    <t>Storage</t>
  </si>
  <si>
    <t>Label</t>
  </si>
  <si>
    <t>Storage Account</t>
  </si>
  <si>
    <t>az</t>
  </si>
  <si>
    <t>uw1</t>
  </si>
  <si>
    <t>(firstname,lastname)</t>
  </si>
  <si>
    <t>sa001</t>
  </si>
  <si>
    <t>Server OS</t>
  </si>
  <si>
    <t>Virtual Machine</t>
  </si>
  <si>
    <t>Domain Controller</t>
  </si>
  <si>
    <t>WUSDC</t>
  </si>
  <si>
    <t>01</t>
  </si>
  <si>
    <t>Windows Server 2016</t>
  </si>
  <si>
    <t>02</t>
  </si>
  <si>
    <t>Availability Set</t>
  </si>
  <si>
    <t>Domain Controllers</t>
  </si>
  <si>
    <t>AS</t>
  </si>
  <si>
    <t>App Security Group</t>
  </si>
  <si>
    <t>AG</t>
  </si>
  <si>
    <t>Other Resources</t>
  </si>
  <si>
    <t>Log Analytics</t>
  </si>
  <si>
    <t>Core</t>
  </si>
  <si>
    <t>LA</t>
  </si>
  <si>
    <t>KeyVault</t>
  </si>
  <si>
    <t>KV</t>
  </si>
  <si>
    <t>RSV</t>
  </si>
  <si>
    <t>BACKUP-RV</t>
  </si>
  <si>
    <t>Automation</t>
  </si>
  <si>
    <t>AA</t>
  </si>
  <si>
    <t>Resource List</t>
  </si>
  <si>
    <r>
      <t xml:space="preserve">Since these are standard resources, portions of this list are dynamic based on the formulated values above, be careful when making changes unless they are intended. </t>
    </r>
    <r>
      <rPr>
        <b/>
        <sz val="14"/>
        <color theme="1"/>
        <rFont val="Calibri"/>
        <family val="2"/>
        <scheme val="minor"/>
      </rPr>
      <t>Just delete the row for any resources that won't be used.</t>
    </r>
    <r>
      <rPr>
        <sz val="14"/>
        <color theme="1"/>
        <rFont val="Calibri"/>
        <family val="2"/>
        <scheme val="minor"/>
      </rPr>
      <t xml:space="preserve"> </t>
    </r>
    <r>
      <rPr>
        <b/>
        <sz val="14"/>
        <color theme="1"/>
        <rFont val="Calibri"/>
        <family val="2"/>
        <scheme val="minor"/>
      </rPr>
      <t>Add any custom resources manually to the custom resources list.</t>
    </r>
  </si>
  <si>
    <t>Any settings highlighted in YELLOW need to be reviewed and manually entered, if applicable.</t>
  </si>
  <si>
    <t>Standard Resources</t>
  </si>
  <si>
    <t>Subsciption</t>
  </si>
  <si>
    <t>Location</t>
  </si>
  <si>
    <t>Resource Name</t>
  </si>
  <si>
    <t>Resource Setting (if applicable)</t>
  </si>
  <si>
    <t>Resource Setting - Name (if applicable)</t>
  </si>
  <si>
    <t>IP Allocation (if applicable)</t>
  </si>
  <si>
    <t>DNS Servers (if applicable)</t>
  </si>
  <si>
    <t>High Value Assets (Lock Applied)</t>
  </si>
  <si>
    <t>Lock Name</t>
  </si>
  <si>
    <t>OS Version</t>
  </si>
  <si>
    <t>Fault Domains</t>
  </si>
  <si>
    <t>Update Domains</t>
  </si>
  <si>
    <t>VNG Type</t>
  </si>
  <si>
    <t>VNG SKU</t>
  </si>
  <si>
    <t>Azure Automation RunAs Acct</t>
  </si>
  <si>
    <t>Log Analytics Pricing Tier</t>
  </si>
  <si>
    <t>KeyVault Pricing Tier</t>
  </si>
  <si>
    <t>KeyVault Network Connectivity</t>
  </si>
  <si>
    <t>KeyVault Access Policy</t>
  </si>
  <si>
    <t>Storage Account Kind</t>
  </si>
  <si>
    <t>Storage Replication</t>
  </si>
  <si>
    <t>Storage Access Tier</t>
  </si>
  <si>
    <t>Storage Perfomance</t>
  </si>
  <si>
    <t>vNet</t>
  </si>
  <si>
    <t>Yes</t>
  </si>
  <si>
    <t>Network Security Group</t>
  </si>
  <si>
    <t>Associated with</t>
  </si>
  <si>
    <t>Automatically generated in code</t>
  </si>
  <si>
    <t>vNet-Peers (multiple)</t>
  </si>
  <si>
    <t>Peer to all SPOKE VNETs</t>
  </si>
  <si>
    <t>StorageV2</t>
  </si>
  <si>
    <t>LRS</t>
  </si>
  <si>
    <t>Hot</t>
  </si>
  <si>
    <t>Standard</t>
  </si>
  <si>
    <t>Public Endpoint (all networks)</t>
  </si>
  <si>
    <t>VM deployment, ARM template deployment, ADE encyrption</t>
  </si>
  <si>
    <t>Recovery Services Vault</t>
  </si>
  <si>
    <t>Standalone (Per GB)</t>
  </si>
  <si>
    <t>Solution Pack</t>
  </si>
  <si>
    <t>AgentHealthAssessment</t>
  </si>
  <si>
    <t>AzureActivity</t>
  </si>
  <si>
    <t>AzureAutomation</t>
  </si>
  <si>
    <t>AzureBackup</t>
  </si>
  <si>
    <t>AzureSQLAnalytics</t>
  </si>
  <si>
    <t>ChangeTracking</t>
  </si>
  <si>
    <t>NetworkMonitoring</t>
  </si>
  <si>
    <t>ServiceDesk</t>
  </si>
  <si>
    <t>Security</t>
  </si>
  <si>
    <t>Updates</t>
  </si>
  <si>
    <t>Automation Account</t>
  </si>
  <si>
    <t>AZUW1ADSDC01</t>
  </si>
  <si>
    <t>AZUW1ADSDC02</t>
  </si>
  <si>
    <t>Local Network Gateway</t>
  </si>
  <si>
    <t>AZ-UW1-SD-LG</t>
  </si>
  <si>
    <t>1.1.1.1</t>
  </si>
  <si>
    <t>Custom Resources</t>
  </si>
  <si>
    <t>High Value Assets</t>
  </si>
  <si>
    <t>IT Applications</t>
  </si>
  <si>
    <t>Spoke</t>
  </si>
  <si>
    <t>HUB - WestUS</t>
  </si>
  <si>
    <t>ITAPPS</t>
  </si>
  <si>
    <t>001</t>
  </si>
  <si>
    <t>_10.63.0.0_16</t>
  </si>
  <si>
    <t>App</t>
  </si>
  <si>
    <t>_10.63.20.0_24</t>
  </si>
  <si>
    <t>Azure Firewall</t>
  </si>
  <si>
    <t>FW</t>
  </si>
  <si>
    <t>Route Table</t>
  </si>
  <si>
    <t>Hub Traffic</t>
  </si>
  <si>
    <t>FW-RT</t>
  </si>
  <si>
    <t>stoneitapps</t>
  </si>
  <si>
    <t>AZ-UW1-SHRDSVC-DRG12-RG</t>
  </si>
  <si>
    <t>vNet Peer</t>
  </si>
  <si>
    <t>Peer to HUB VNET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</si>
</sst>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Calibri"/>
      <family val="2"/>
      <scheme val="minor"/>
    </font>
    <font>
      <b/>
      <sz val="12"/>
      <color theme="1"/>
      <name val="Calibri"/>
      <family val="2"/>
      <scheme val="minor"/>
    </font>
    <font>
      <sz val="8"/>
      <name val="Calibri"/>
      <family val="2"/>
      <scheme val="minor"/>
    </font>
    <font>
      <b/>
      <sz val="12"/>
      <color theme="0"/>
      <name val="Calibri"/>
      <family val="2"/>
      <scheme val="minor"/>
    </font>
    <font>
      <b/>
      <sz val="14"/>
      <color theme="1"/>
      <name val="Calibri"/>
      <family val="2"/>
      <scheme val="minor"/>
    </font>
    <font>
      <sz val="12"/>
      <name val="Calibri"/>
      <family val="2"/>
      <scheme val="minor"/>
    </font>
    <font>
      <sz val="10"/>
      <name val="Arial"/>
      <family val="2"/>
    </font>
    <font>
      <b/>
      <sz val="16"/>
      <name val="Calibri"/>
      <family val="2"/>
      <scheme val="minor"/>
    </font>
    <font>
      <sz val="11"/>
      <name val="Calibri"/>
      <family val="2"/>
      <scheme val="minor"/>
    </font>
    <font>
      <sz val="14"/>
      <color theme="1"/>
      <name val="Calibri"/>
      <family val="2"/>
      <scheme val="minor"/>
    </font>
    <font>
      <b/>
      <sz val="14"/>
      <color rgb="FFF26322"/>
      <name val="Calibri"/>
      <family val="2"/>
      <scheme val="minor"/>
    </font>
    <font>
      <b/>
      <sz val="16"/>
      <color theme="1"/>
      <name val="Calibri"/>
      <family val="2"/>
      <scheme val="minor"/>
    </font>
    <font>
      <sz val="12"/>
      <color rgb="FF000000"/>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rgb="FFF26322"/>
        <bgColor indexed="64"/>
      </patternFill>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indexed="64"/>
      </patternFill>
    </fill>
  </fills>
  <borders count="2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s>
  <cellStyleXfs count="2">
    <xf numFmtId="0" fontId="0" fillId="0" borderId="0"/>
    <xf numFmtId="0" fontId="6" fillId="0" borderId="0"/>
  </cellStyleXfs>
  <cellXfs count="110">
    <xf numFmtId="0" fontId="0" fillId="0" borderId="0" xfId="0"/>
    <xf numFmtId="0" fontId="0" fillId="0" borderId="4" xfId="0" applyBorder="1"/>
    <xf numFmtId="0" fontId="0" fillId="2" borderId="4" xfId="0" applyFill="1" applyBorder="1"/>
    <xf numFmtId="49" fontId="0" fillId="0" borderId="4" xfId="0" applyNumberFormat="1" applyBorder="1"/>
    <xf numFmtId="49" fontId="0" fillId="2" borderId="4" xfId="0" applyNumberFormat="1" applyFill="1" applyBorder="1"/>
    <xf numFmtId="0" fontId="0" fillId="0" borderId="10" xfId="0" applyBorder="1"/>
    <xf numFmtId="0" fontId="0" fillId="2" borderId="10" xfId="0" applyFill="1" applyBorder="1"/>
    <xf numFmtId="49" fontId="0" fillId="0" borderId="10" xfId="0" applyNumberFormat="1" applyBorder="1"/>
    <xf numFmtId="49" fontId="0" fillId="2" borderId="10" xfId="0" applyNumberFormat="1" applyFill="1" applyBorder="1"/>
    <xf numFmtId="0" fontId="1" fillId="0" borderId="11" xfId="0" applyFont="1" applyBorder="1"/>
    <xf numFmtId="0" fontId="1" fillId="2" borderId="11" xfId="0" applyFont="1" applyFill="1" applyBorder="1"/>
    <xf numFmtId="49" fontId="1" fillId="0" borderId="11" xfId="0" applyNumberFormat="1" applyFont="1" applyBorder="1"/>
    <xf numFmtId="0" fontId="1" fillId="2" borderId="0" xfId="0" applyFont="1" applyFill="1" applyBorder="1" applyAlignment="1">
      <alignment horizontal="left"/>
    </xf>
    <xf numFmtId="0" fontId="1" fillId="2" borderId="13" xfId="0" applyFont="1" applyFill="1" applyBorder="1" applyAlignment="1">
      <alignment horizontal="left"/>
    </xf>
    <xf numFmtId="0" fontId="1" fillId="2" borderId="13" xfId="0" applyFont="1" applyFill="1" applyBorder="1" applyAlignment="1">
      <alignment horizontal="left" vertical="top"/>
    </xf>
    <xf numFmtId="0" fontId="1" fillId="2" borderId="0" xfId="0" applyFont="1" applyFill="1"/>
    <xf numFmtId="0" fontId="0" fillId="2" borderId="0" xfId="0" applyFill="1" applyBorder="1"/>
    <xf numFmtId="0" fontId="5" fillId="0" borderId="0" xfId="0" applyFont="1" applyFill="1" applyBorder="1"/>
    <xf numFmtId="49" fontId="5" fillId="0" borderId="0" xfId="0" applyNumberFormat="1" applyFont="1" applyFill="1" applyBorder="1"/>
    <xf numFmtId="0" fontId="5" fillId="0" borderId="0" xfId="0" applyNumberFormat="1" applyFont="1" applyFill="1" applyBorder="1"/>
    <xf numFmtId="0" fontId="0" fillId="4" borderId="0" xfId="0" applyFill="1"/>
    <xf numFmtId="0" fontId="0" fillId="2" borderId="7" xfId="0" applyFill="1" applyBorder="1"/>
    <xf numFmtId="0" fontId="0" fillId="2" borderId="8" xfId="0" applyFill="1" applyBorder="1"/>
    <xf numFmtId="0" fontId="0" fillId="2" borderId="9" xfId="0" applyFill="1" applyBorder="1"/>
    <xf numFmtId="0" fontId="0" fillId="2" borderId="6" xfId="0" applyFill="1" applyBorder="1"/>
    <xf numFmtId="0" fontId="4" fillId="2" borderId="0" xfId="0" applyFont="1" applyFill="1" applyBorder="1" applyAlignment="1"/>
    <xf numFmtId="0" fontId="4" fillId="2" borderId="12" xfId="0" applyFont="1" applyFill="1" applyBorder="1" applyAlignment="1"/>
    <xf numFmtId="0" fontId="4" fillId="2" borderId="7" xfId="0" applyFont="1" applyFill="1" applyBorder="1" applyAlignment="1"/>
    <xf numFmtId="0" fontId="4" fillId="2" borderId="9" xfId="0" applyFont="1" applyFill="1" applyBorder="1" applyAlignment="1"/>
    <xf numFmtId="0" fontId="4" fillId="2" borderId="14" xfId="0" applyFont="1" applyFill="1" applyBorder="1" applyAlignment="1"/>
    <xf numFmtId="0" fontId="4" fillId="2" borderId="5" xfId="0" applyFont="1" applyFill="1" applyBorder="1" applyAlignment="1"/>
    <xf numFmtId="0" fontId="0" fillId="0" borderId="11" xfId="0" applyFont="1" applyBorder="1"/>
    <xf numFmtId="0" fontId="0" fillId="2" borderId="11" xfId="0" applyFont="1" applyFill="1" applyBorder="1"/>
    <xf numFmtId="0" fontId="0" fillId="0" borderId="0" xfId="0" applyFont="1"/>
    <xf numFmtId="0" fontId="1" fillId="2" borderId="4" xfId="0" applyFont="1" applyFill="1" applyBorder="1" applyAlignment="1">
      <alignment wrapText="1"/>
    </xf>
    <xf numFmtId="0" fontId="0" fillId="4" borderId="0" xfId="0" applyFill="1" applyAlignment="1">
      <alignment wrapText="1"/>
    </xf>
    <xf numFmtId="0" fontId="3" fillId="3" borderId="4" xfId="1" applyFont="1" applyFill="1" applyBorder="1" applyAlignment="1">
      <alignment horizontal="center" vertical="top" wrapText="1"/>
    </xf>
    <xf numFmtId="0" fontId="8" fillId="0" borderId="4" xfId="1" applyFont="1" applyBorder="1" applyAlignment="1">
      <alignment horizontal="left" vertical="center" wrapText="1"/>
    </xf>
    <xf numFmtId="0" fontId="0" fillId="0" borderId="4" xfId="0" applyBorder="1" applyAlignment="1">
      <alignment wrapText="1"/>
    </xf>
    <xf numFmtId="0" fontId="0" fillId="0" borderId="4" xfId="0" applyBorder="1" applyAlignment="1">
      <alignment horizontal="left" wrapText="1"/>
    </xf>
    <xf numFmtId="0" fontId="4" fillId="2" borderId="13" xfId="0" applyFont="1" applyFill="1" applyBorder="1" applyAlignment="1">
      <alignment horizontal="left"/>
    </xf>
    <xf numFmtId="0" fontId="4" fillId="2" borderId="0" xfId="0" applyFont="1" applyFill="1" applyBorder="1" applyAlignment="1">
      <alignment horizontal="left"/>
    </xf>
    <xf numFmtId="0" fontId="0" fillId="4" borderId="4" xfId="0" applyFill="1" applyBorder="1"/>
    <xf numFmtId="0" fontId="0" fillId="4" borderId="10" xfId="0" applyFill="1" applyBorder="1"/>
    <xf numFmtId="0" fontId="0" fillId="5" borderId="4" xfId="0" applyFill="1" applyBorder="1"/>
    <xf numFmtId="0" fontId="0" fillId="2" borderId="0" xfId="0" applyFont="1" applyFill="1" applyBorder="1" applyAlignment="1">
      <alignment horizontal="left"/>
    </xf>
    <xf numFmtId="49" fontId="0" fillId="4" borderId="10" xfId="0" applyNumberFormat="1" applyFill="1" applyBorder="1"/>
    <xf numFmtId="0" fontId="0" fillId="2" borderId="11" xfId="0" applyFill="1" applyBorder="1"/>
    <xf numFmtId="0" fontId="0" fillId="2" borderId="4" xfId="0" applyFont="1" applyFill="1" applyBorder="1"/>
    <xf numFmtId="0" fontId="1" fillId="6" borderId="11" xfId="0" applyFont="1" applyFill="1" applyBorder="1"/>
    <xf numFmtId="0" fontId="0" fillId="6" borderId="4" xfId="0" applyNumberFormat="1" applyFill="1" applyBorder="1"/>
    <xf numFmtId="0" fontId="0" fillId="6" borderId="10" xfId="0" applyNumberFormat="1" applyFill="1" applyBorder="1"/>
    <xf numFmtId="0" fontId="0" fillId="2" borderId="4" xfId="0" applyNumberFormat="1" applyFill="1" applyBorder="1"/>
    <xf numFmtId="0" fontId="1" fillId="0" borderId="16" xfId="0" applyFont="1" applyBorder="1"/>
    <xf numFmtId="0" fontId="0" fillId="2" borderId="17" xfId="0" applyFill="1" applyBorder="1"/>
    <xf numFmtId="0" fontId="0" fillId="0" borderId="18" xfId="0" applyBorder="1"/>
    <xf numFmtId="0" fontId="0" fillId="2" borderId="19" xfId="0" applyFill="1" applyBorder="1"/>
    <xf numFmtId="0" fontId="0" fillId="0" borderId="20" xfId="0" applyBorder="1"/>
    <xf numFmtId="0" fontId="0" fillId="2" borderId="21" xfId="0" applyFill="1" applyBorder="1"/>
    <xf numFmtId="0" fontId="0" fillId="0" borderId="16" xfId="0" applyFont="1" applyBorder="1"/>
    <xf numFmtId="0" fontId="0" fillId="2" borderId="19" xfId="0" applyFont="1" applyFill="1" applyBorder="1"/>
    <xf numFmtId="0" fontId="0" fillId="0" borderId="22" xfId="0" applyBorder="1"/>
    <xf numFmtId="0" fontId="0" fillId="0" borderId="23" xfId="0" applyBorder="1"/>
    <xf numFmtId="0" fontId="0" fillId="2" borderId="23" xfId="0" applyFill="1" applyBorder="1"/>
    <xf numFmtId="49" fontId="0" fillId="2" borderId="23" xfId="0" applyNumberFormat="1" applyFill="1" applyBorder="1"/>
    <xf numFmtId="0" fontId="0" fillId="6" borderId="23" xfId="0" applyNumberFormat="1" applyFill="1" applyBorder="1"/>
    <xf numFmtId="0" fontId="0" fillId="2" borderId="24" xfId="0" applyFill="1" applyBorder="1"/>
    <xf numFmtId="0" fontId="9" fillId="5" borderId="0" xfId="0" applyFont="1" applyFill="1" applyBorder="1" applyAlignment="1">
      <alignment horizontal="left" wrapText="1"/>
    </xf>
    <xf numFmtId="0" fontId="1" fillId="4" borderId="17" xfId="0" applyFont="1" applyFill="1" applyBorder="1"/>
    <xf numFmtId="0" fontId="0" fillId="4" borderId="19" xfId="0" applyFill="1" applyBorder="1"/>
    <xf numFmtId="0" fontId="4" fillId="4" borderId="15" xfId="0" applyFont="1" applyFill="1" applyBorder="1" applyAlignment="1"/>
    <xf numFmtId="0" fontId="0" fillId="2" borderId="14" xfId="0" applyFill="1" applyBorder="1" applyAlignment="1">
      <alignment vertical="top"/>
    </xf>
    <xf numFmtId="0" fontId="0" fillId="2" borderId="5" xfId="0" applyFill="1" applyBorder="1" applyAlignment="1">
      <alignment vertical="top"/>
    </xf>
    <xf numFmtId="0" fontId="0" fillId="2" borderId="5" xfId="0" applyFill="1" applyBorder="1"/>
    <xf numFmtId="0" fontId="1" fillId="2" borderId="13" xfId="0" applyFont="1" applyFill="1" applyBorder="1" applyAlignment="1">
      <alignment horizontal="center" vertical="top"/>
    </xf>
    <xf numFmtId="0" fontId="0" fillId="0" borderId="25" xfId="0" applyFill="1" applyBorder="1"/>
    <xf numFmtId="0" fontId="12" fillId="0" borderId="4" xfId="0" applyFont="1" applyBorder="1"/>
    <xf numFmtId="0" fontId="0" fillId="2" borderId="0" xfId="0" applyFont="1" applyFill="1" applyBorder="1" applyAlignment="1">
      <alignment horizontal="left" vertical="top"/>
    </xf>
    <xf numFmtId="0" fontId="0" fillId="2" borderId="0" xfId="0" applyFill="1" applyBorder="1" applyAlignment="1">
      <alignment horizontal="left" vertical="top" wrapText="1"/>
    </xf>
    <xf numFmtId="0" fontId="0" fillId="2" borderId="9" xfId="0" applyFill="1" applyBorder="1" applyAlignment="1">
      <alignment horizontal="left" vertical="top" wrapText="1"/>
    </xf>
    <xf numFmtId="0" fontId="0" fillId="2" borderId="12" xfId="0" applyFill="1" applyBorder="1" applyAlignment="1">
      <alignment horizontal="left" vertical="center" wrapText="1"/>
    </xf>
    <xf numFmtId="0" fontId="0" fillId="2" borderId="7" xfId="0" applyFill="1" applyBorder="1" applyAlignment="1">
      <alignment horizontal="left" vertical="center" wrapText="1"/>
    </xf>
    <xf numFmtId="0" fontId="7" fillId="0" borderId="0" xfId="1" applyFont="1" applyAlignment="1">
      <alignment horizontal="left" vertical="center" wrapText="1"/>
    </xf>
    <xf numFmtId="0" fontId="4" fillId="2" borderId="12" xfId="0" applyFont="1" applyFill="1" applyBorder="1" applyAlignment="1">
      <alignment horizontal="left"/>
    </xf>
    <xf numFmtId="0" fontId="4" fillId="2" borderId="7" xfId="0" applyFont="1" applyFill="1" applyBorder="1" applyAlignment="1">
      <alignment horizontal="left"/>
    </xf>
    <xf numFmtId="0" fontId="0" fillId="2" borderId="13" xfId="0" applyFont="1" applyFill="1" applyBorder="1" applyAlignment="1">
      <alignment horizontal="left" vertical="top"/>
    </xf>
    <xf numFmtId="0" fontId="0" fillId="2" borderId="0" xfId="0" applyFont="1" applyFill="1" applyBorder="1" applyAlignment="1">
      <alignment horizontal="left" vertical="top"/>
    </xf>
    <xf numFmtId="0" fontId="3" fillId="3" borderId="14" xfId="0" applyFont="1" applyFill="1" applyBorder="1" applyAlignment="1">
      <alignment horizontal="left"/>
    </xf>
    <xf numFmtId="0" fontId="3" fillId="3" borderId="5" xfId="0" applyFont="1" applyFill="1" applyBorder="1" applyAlignment="1">
      <alignment horizontal="left"/>
    </xf>
    <xf numFmtId="0" fontId="3" fillId="3" borderId="6" xfId="0" applyFont="1" applyFill="1" applyBorder="1" applyAlignment="1">
      <alignment horizontal="left"/>
    </xf>
    <xf numFmtId="0" fontId="3" fillId="3" borderId="1" xfId="0" applyFont="1" applyFill="1" applyBorder="1" applyAlignment="1">
      <alignment horizontal="left"/>
    </xf>
    <xf numFmtId="0" fontId="3" fillId="3" borderId="2" xfId="0" applyFont="1" applyFill="1" applyBorder="1" applyAlignment="1">
      <alignment horizontal="left"/>
    </xf>
    <xf numFmtId="0" fontId="3" fillId="3" borderId="3" xfId="0" applyFont="1" applyFill="1" applyBorder="1" applyAlignment="1">
      <alignment horizontal="left"/>
    </xf>
    <xf numFmtId="0" fontId="4" fillId="6" borderId="12" xfId="0" applyFont="1" applyFill="1" applyBorder="1" applyAlignment="1">
      <alignment horizontal="center"/>
    </xf>
    <xf numFmtId="0" fontId="4" fillId="6" borderId="8" xfId="0" applyFont="1" applyFill="1" applyBorder="1" applyAlignment="1">
      <alignment horizontal="center"/>
    </xf>
    <xf numFmtId="0" fontId="4" fillId="4" borderId="1" xfId="0" applyFont="1" applyFill="1" applyBorder="1" applyAlignment="1">
      <alignment horizontal="left"/>
    </xf>
    <xf numFmtId="0" fontId="4" fillId="4" borderId="2" xfId="0" applyFont="1" applyFill="1" applyBorder="1" applyAlignment="1">
      <alignment horizontal="left"/>
    </xf>
    <xf numFmtId="0" fontId="4" fillId="4" borderId="3" xfId="0" applyFont="1" applyFill="1" applyBorder="1" applyAlignment="1">
      <alignment horizontal="left"/>
    </xf>
    <xf numFmtId="0" fontId="10" fillId="2" borderId="13" xfId="0" applyFont="1" applyFill="1" applyBorder="1" applyAlignment="1">
      <alignment horizontal="left"/>
    </xf>
    <xf numFmtId="0" fontId="10" fillId="2" borderId="0" xfId="0" applyFont="1" applyFill="1" applyBorder="1" applyAlignment="1">
      <alignment horizontal="left"/>
    </xf>
    <xf numFmtId="0" fontId="3" fillId="3" borderId="12" xfId="0" applyFont="1" applyFill="1" applyBorder="1" applyAlignment="1">
      <alignment horizontal="left"/>
    </xf>
    <xf numFmtId="0" fontId="3" fillId="3" borderId="7" xfId="0" applyFont="1" applyFill="1" applyBorder="1" applyAlignment="1">
      <alignment horizontal="left"/>
    </xf>
    <xf numFmtId="0" fontId="0" fillId="4" borderId="4" xfId="0" applyFont="1" applyFill="1" applyBorder="1" applyAlignment="1">
      <alignment horizontal="left" vertical="top"/>
    </xf>
    <xf numFmtId="0" fontId="0" fillId="4" borderId="4" xfId="0" applyFont="1" applyFill="1" applyBorder="1" applyAlignment="1">
      <alignment horizontal="left"/>
    </xf>
    <xf numFmtId="0" fontId="1" fillId="5" borderId="13" xfId="0" applyFont="1" applyFill="1" applyBorder="1" applyAlignment="1">
      <alignment horizontal="left"/>
    </xf>
    <xf numFmtId="0" fontId="1" fillId="5" borderId="0" xfId="0" applyFont="1" applyFill="1" applyBorder="1" applyAlignment="1">
      <alignment horizontal="left"/>
    </xf>
    <xf numFmtId="0" fontId="9" fillId="2" borderId="13" xfId="0" applyFont="1" applyFill="1" applyBorder="1" applyAlignment="1">
      <alignment horizontal="left" vertical="center" wrapText="1"/>
    </xf>
    <xf numFmtId="0" fontId="9" fillId="2" borderId="0" xfId="0" applyFont="1" applyFill="1" applyBorder="1" applyAlignment="1">
      <alignment horizontal="left" vertical="center" wrapText="1"/>
    </xf>
    <xf numFmtId="0" fontId="1" fillId="7" borderId="4" xfId="0" applyFont="1" applyFill="1" applyBorder="1" applyAlignment="1">
      <alignment wrapText="1"/>
    </xf>
    <xf numFmtId="0" fontId="1" fillId="5" borderId="4" xfId="0" applyFont="1" applyFill="1" applyBorder="1" applyAlignment="1">
      <alignment wrapText="1"/>
    </xf>
  </cellXfs>
  <cellStyles count="2">
    <cellStyle name="Normal" xfId="0" builtinId="0"/>
    <cellStyle name="Normal 3" xfId="1" xr:uid="{713A98E8-7F9F-42E7-86C5-C576BC8A0748}"/>
  </cellStyles>
  <dxfs count="0"/>
  <tableStyles count="0" defaultTableStyle="TableStyleMedium2" defaultPivotStyle="PivotStyleLight16"/>
  <colors>
    <mruColors>
      <color rgb="FFF263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CB1C6-0A79-489E-9DFE-EC9F95031777}">
  <dimension ref="B1:H10"/>
  <sheetViews>
    <sheetView workbookViewId="0">
      <selection activeCell="C15" sqref="C15"/>
    </sheetView>
  </sheetViews>
  <sheetFormatPr defaultColWidth="8.875" defaultRowHeight="15.95"/>
  <cols>
    <col min="1" max="1" width="2.625" customWidth="1"/>
    <col min="2" max="2" width="4.5" customWidth="1"/>
    <col min="3" max="3" width="16.625" customWidth="1"/>
    <col min="4" max="4" width="17" customWidth="1"/>
    <col min="5" max="5" width="12.125" customWidth="1"/>
    <col min="6" max="6" width="12" customWidth="1"/>
    <col min="7" max="7" width="12.875" customWidth="1"/>
    <col min="8" max="9" width="14.875" bestFit="1" customWidth="1"/>
    <col min="11" max="11" width="35.875" bestFit="1" customWidth="1"/>
  </cols>
  <sheetData>
    <row r="1" spans="2:8" ht="12.75" customHeight="1" thickBot="1"/>
    <row r="2" spans="2:8" ht="32.25" customHeight="1">
      <c r="B2" s="80" t="s">
        <v>0</v>
      </c>
      <c r="C2" s="81"/>
      <c r="D2" s="81"/>
      <c r="E2" s="81"/>
      <c r="F2" s="81"/>
      <c r="G2" s="21"/>
      <c r="H2" s="22"/>
    </row>
    <row r="3" spans="2:8" ht="33.75" customHeight="1">
      <c r="B3" s="74">
        <v>1</v>
      </c>
      <c r="C3" s="78" t="s">
        <v>1</v>
      </c>
      <c r="D3" s="78"/>
      <c r="E3" s="78"/>
      <c r="F3" s="78"/>
      <c r="G3" s="78"/>
      <c r="H3" s="79"/>
    </row>
    <row r="4" spans="2:8" ht="36.75" customHeight="1">
      <c r="B4" s="74">
        <v>2</v>
      </c>
      <c r="C4" s="78" t="s">
        <v>2</v>
      </c>
      <c r="D4" s="78"/>
      <c r="E4" s="78"/>
      <c r="F4" s="78"/>
      <c r="G4" s="78"/>
      <c r="H4" s="79"/>
    </row>
    <row r="5" spans="2:8">
      <c r="B5" s="74">
        <v>3</v>
      </c>
      <c r="C5" s="78" t="s">
        <v>3</v>
      </c>
      <c r="D5" s="78"/>
      <c r="E5" s="78"/>
      <c r="F5" s="78"/>
      <c r="G5" s="78"/>
      <c r="H5" s="79"/>
    </row>
    <row r="6" spans="2:8">
      <c r="B6" s="74">
        <v>4</v>
      </c>
      <c r="C6" s="78" t="s">
        <v>4</v>
      </c>
      <c r="D6" s="78"/>
      <c r="E6" s="78"/>
      <c r="F6" s="78"/>
      <c r="G6" s="78"/>
      <c r="H6" s="79"/>
    </row>
    <row r="7" spans="2:8">
      <c r="B7" s="74">
        <v>5</v>
      </c>
      <c r="C7" s="78" t="s">
        <v>5</v>
      </c>
      <c r="D7" s="78"/>
      <c r="E7" s="78"/>
      <c r="F7" s="78"/>
      <c r="G7" s="78"/>
      <c r="H7" s="79"/>
    </row>
    <row r="8" spans="2:8">
      <c r="B8" s="74">
        <v>6</v>
      </c>
      <c r="C8" s="78" t="s">
        <v>6</v>
      </c>
      <c r="D8" s="78"/>
      <c r="E8" s="78"/>
      <c r="F8" s="78"/>
      <c r="G8" s="78"/>
      <c r="H8" s="79"/>
    </row>
    <row r="9" spans="2:8">
      <c r="B9" s="74">
        <v>7</v>
      </c>
      <c r="C9" s="78" t="s">
        <v>7</v>
      </c>
      <c r="D9" s="78"/>
      <c r="E9" s="78"/>
      <c r="F9" s="78"/>
      <c r="G9" s="78"/>
      <c r="H9" s="79"/>
    </row>
    <row r="10" spans="2:8" ht="17.100000000000001" thickBot="1">
      <c r="B10" s="71"/>
      <c r="C10" s="72"/>
      <c r="D10" s="72"/>
      <c r="E10" s="72"/>
      <c r="F10" s="72"/>
      <c r="G10" s="73"/>
      <c r="H10" s="24"/>
    </row>
  </sheetData>
  <mergeCells count="8">
    <mergeCell ref="C9:H9"/>
    <mergeCell ref="C8:H8"/>
    <mergeCell ref="C7:H7"/>
    <mergeCell ref="C6:H6"/>
    <mergeCell ref="B2:F2"/>
    <mergeCell ref="C3:H3"/>
    <mergeCell ref="C4:H4"/>
    <mergeCell ref="C5:H5"/>
  </mergeCells>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8E919-F9CA-4089-8547-C2FF7838F6CB}">
  <dimension ref="B2:C8"/>
  <sheetViews>
    <sheetView workbookViewId="0">
      <selection activeCell="B11" sqref="B11"/>
    </sheetView>
  </sheetViews>
  <sheetFormatPr defaultColWidth="8.875" defaultRowHeight="15.95"/>
  <cols>
    <col min="1" max="1" width="3.375" customWidth="1"/>
    <col min="2" max="2" width="20.125" customWidth="1"/>
    <col min="3" max="3" width="45.625" customWidth="1"/>
  </cols>
  <sheetData>
    <row r="2" spans="2:3" ht="79.5" customHeight="1">
      <c r="B2" s="82" t="s">
        <v>8</v>
      </c>
      <c r="C2" s="82"/>
    </row>
    <row r="3" spans="2:3" ht="17.100000000000001">
      <c r="B3" s="36" t="s">
        <v>9</v>
      </c>
      <c r="C3" s="36" t="s">
        <v>10</v>
      </c>
    </row>
    <row r="4" spans="2:3" ht="17.100000000000001">
      <c r="B4" s="37" t="s">
        <v>11</v>
      </c>
      <c r="C4" s="38" t="s">
        <v>12</v>
      </c>
    </row>
    <row r="5" spans="2:3">
      <c r="B5" s="37" t="s">
        <v>13</v>
      </c>
      <c r="C5" t="s">
        <v>14</v>
      </c>
    </row>
    <row r="6" spans="2:3" ht="17.100000000000001">
      <c r="B6" s="37" t="s">
        <v>15</v>
      </c>
      <c r="C6" s="38" t="s">
        <v>16</v>
      </c>
    </row>
    <row r="7" spans="2:3">
      <c r="B7" s="37" t="s">
        <v>17</v>
      </c>
      <c r="C7" s="39">
        <v>123456</v>
      </c>
    </row>
    <row r="8" spans="2:3" ht="17.100000000000001">
      <c r="B8" s="37" t="s">
        <v>18</v>
      </c>
      <c r="C8" s="38" t="s">
        <v>19</v>
      </c>
    </row>
  </sheetData>
  <mergeCells count="1">
    <mergeCell ref="B2: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C9EBA-75A1-244A-A1C3-84B7DCE4F40C}">
  <dimension ref="B1:Z85"/>
  <sheetViews>
    <sheetView zoomScale="85" zoomScaleNormal="85" workbookViewId="0">
      <selection activeCell="K28" sqref="K28"/>
    </sheetView>
  </sheetViews>
  <sheetFormatPr defaultColWidth="11.5" defaultRowHeight="15.95" outlineLevelRow="1"/>
  <cols>
    <col min="1" max="1" width="3.5" customWidth="1"/>
    <col min="2" max="2" width="22.125" customWidth="1"/>
    <col min="3" max="3" width="17" customWidth="1"/>
    <col min="4" max="4" width="22.625" customWidth="1"/>
    <col min="5" max="5" width="39.375" bestFit="1" customWidth="1"/>
    <col min="6" max="6" width="21.625" customWidth="1"/>
    <col min="7" max="7" width="44.875" bestFit="1" customWidth="1"/>
    <col min="8" max="8" width="21.375" customWidth="1"/>
    <col min="9" max="9" width="14" customWidth="1"/>
    <col min="10" max="10" width="34.875" bestFit="1" customWidth="1"/>
    <col min="11" max="11" width="44.875" bestFit="1" customWidth="1"/>
    <col min="12" max="12" width="43.625" customWidth="1"/>
    <col min="13" max="13" width="23.375" customWidth="1"/>
    <col min="14" max="14" width="15.875" bestFit="1" customWidth="1"/>
    <col min="15" max="15" width="18.125" bestFit="1" customWidth="1"/>
    <col min="16" max="17" width="18.125" customWidth="1"/>
    <col min="18" max="18" width="30" bestFit="1" customWidth="1"/>
    <col min="19" max="19" width="25" bestFit="1" customWidth="1"/>
    <col min="20" max="20" width="21.125" bestFit="1" customWidth="1"/>
    <col min="21" max="21" width="31" bestFit="1" customWidth="1"/>
    <col min="22" max="22" width="53.125" bestFit="1" customWidth="1"/>
    <col min="23" max="23" width="22.5" bestFit="1" customWidth="1"/>
    <col min="24" max="24" width="20.625" bestFit="1" customWidth="1"/>
    <col min="25" max="25" width="20.125" bestFit="1" customWidth="1"/>
    <col min="26" max="26" width="21.125" bestFit="1" customWidth="1"/>
  </cols>
  <sheetData>
    <row r="1" spans="2:13" ht="17.100000000000001" thickBot="1"/>
    <row r="2" spans="2:13" ht="18.95">
      <c r="B2" s="83" t="s">
        <v>20</v>
      </c>
      <c r="C2" s="84"/>
      <c r="D2" s="84"/>
      <c r="E2" s="84"/>
      <c r="F2" s="84"/>
      <c r="G2" s="84"/>
      <c r="H2" s="84"/>
      <c r="I2" s="84"/>
      <c r="J2" s="84"/>
      <c r="K2" s="84"/>
      <c r="L2" s="21"/>
      <c r="M2" s="22"/>
    </row>
    <row r="3" spans="2:13" ht="18.95">
      <c r="B3" s="40"/>
      <c r="C3" s="41"/>
      <c r="D3" s="41"/>
      <c r="E3" s="41"/>
      <c r="F3" s="41"/>
      <c r="G3" s="41"/>
      <c r="H3" s="41"/>
      <c r="I3" s="41"/>
      <c r="J3" s="41"/>
      <c r="K3" s="41"/>
      <c r="L3" s="16"/>
      <c r="M3" s="23"/>
    </row>
    <row r="4" spans="2:13" ht="21.75" customHeight="1">
      <c r="B4" s="85" t="s">
        <v>21</v>
      </c>
      <c r="C4" s="86"/>
      <c r="D4" s="86"/>
      <c r="E4" s="86"/>
      <c r="F4" s="86"/>
      <c r="G4" s="86"/>
      <c r="H4" s="86"/>
      <c r="I4" s="86"/>
      <c r="J4" s="86"/>
      <c r="K4" s="86"/>
      <c r="L4" s="16"/>
      <c r="M4" s="23"/>
    </row>
    <row r="5" spans="2:13">
      <c r="B5" s="14" t="s">
        <v>22</v>
      </c>
      <c r="C5" s="102" t="s">
        <v>19</v>
      </c>
      <c r="D5" s="102"/>
      <c r="E5" s="77"/>
      <c r="F5" s="77"/>
      <c r="G5" s="77"/>
      <c r="H5" s="77"/>
      <c r="I5" s="77"/>
      <c r="J5" s="77"/>
      <c r="K5" s="77"/>
      <c r="L5" s="16"/>
      <c r="M5" s="23"/>
    </row>
    <row r="6" spans="2:13">
      <c r="B6" s="14" t="s">
        <v>23</v>
      </c>
      <c r="C6" s="102" t="s">
        <v>24</v>
      </c>
      <c r="D6" s="102"/>
      <c r="E6" s="77"/>
      <c r="F6" s="77"/>
      <c r="G6" s="77"/>
      <c r="H6" s="77"/>
      <c r="I6" s="77"/>
      <c r="J6" s="77"/>
      <c r="K6" s="77"/>
      <c r="L6" s="16"/>
      <c r="M6" s="23"/>
    </row>
    <row r="7" spans="2:13">
      <c r="B7" s="14" t="s">
        <v>25</v>
      </c>
      <c r="C7" s="102" t="s">
        <v>26</v>
      </c>
      <c r="D7" s="102"/>
      <c r="E7" s="77"/>
      <c r="F7" s="77"/>
      <c r="G7" s="77"/>
      <c r="H7" s="77"/>
      <c r="I7" s="77"/>
      <c r="J7" s="77"/>
      <c r="K7" s="77"/>
      <c r="L7" s="16"/>
      <c r="M7" s="23"/>
    </row>
    <row r="8" spans="2:13">
      <c r="B8" s="14" t="s">
        <v>27</v>
      </c>
      <c r="C8" s="102"/>
      <c r="D8" s="102"/>
      <c r="E8" s="77"/>
      <c r="F8" s="77"/>
      <c r="G8" s="77"/>
      <c r="H8" s="77"/>
      <c r="I8" s="77"/>
      <c r="J8" s="77"/>
      <c r="K8" s="77"/>
      <c r="L8" s="16"/>
      <c r="M8" s="23"/>
    </row>
    <row r="9" spans="2:13">
      <c r="B9" s="14"/>
      <c r="C9" s="77"/>
      <c r="D9" s="77"/>
      <c r="E9" s="77"/>
      <c r="F9" s="77"/>
      <c r="G9" s="77"/>
      <c r="H9" s="77"/>
      <c r="I9" s="77"/>
      <c r="J9" s="77"/>
      <c r="K9" s="77"/>
      <c r="L9" s="16"/>
      <c r="M9" s="23"/>
    </row>
    <row r="10" spans="2:13" ht="21.75" customHeight="1">
      <c r="B10" s="85" t="s">
        <v>28</v>
      </c>
      <c r="C10" s="86"/>
      <c r="D10" s="86"/>
      <c r="E10" s="86"/>
      <c r="F10" s="86"/>
      <c r="G10" s="86"/>
      <c r="H10" s="86"/>
      <c r="I10" s="86"/>
      <c r="J10" s="86"/>
      <c r="K10" s="86"/>
      <c r="L10" s="16"/>
      <c r="M10" s="23"/>
    </row>
    <row r="11" spans="2:13">
      <c r="B11" s="13" t="s">
        <v>29</v>
      </c>
      <c r="C11" s="103" t="s">
        <v>26</v>
      </c>
      <c r="D11" s="103"/>
      <c r="E11" s="12"/>
      <c r="F11" s="12"/>
      <c r="G11" s="12"/>
      <c r="H11" s="12"/>
      <c r="I11" s="12"/>
      <c r="J11" s="12"/>
      <c r="K11" s="12"/>
      <c r="L11" s="16"/>
      <c r="M11" s="23"/>
    </row>
    <row r="12" spans="2:13">
      <c r="B12" s="13" t="s">
        <v>30</v>
      </c>
      <c r="C12" s="103" t="s">
        <v>31</v>
      </c>
      <c r="D12" s="103"/>
      <c r="E12" s="12"/>
      <c r="F12" s="12"/>
      <c r="G12" s="12"/>
      <c r="H12" s="12"/>
      <c r="I12" s="12"/>
      <c r="J12" s="12"/>
      <c r="K12" s="12"/>
      <c r="L12" s="16"/>
      <c r="M12" s="23"/>
    </row>
    <row r="13" spans="2:13">
      <c r="B13" s="13" t="s">
        <v>32</v>
      </c>
      <c r="C13" s="103" t="s">
        <v>33</v>
      </c>
      <c r="D13" s="103"/>
      <c r="E13" s="12"/>
      <c r="F13" s="12"/>
      <c r="G13" s="12"/>
      <c r="H13" s="12"/>
      <c r="I13" s="12"/>
      <c r="J13" s="12"/>
      <c r="K13" s="12"/>
      <c r="L13" s="16"/>
      <c r="M13" s="23"/>
    </row>
    <row r="14" spans="2:13" ht="18.95">
      <c r="B14" s="13"/>
      <c r="C14" s="45"/>
      <c r="D14" s="45"/>
      <c r="E14" s="12"/>
      <c r="F14" s="12"/>
      <c r="G14" s="12"/>
      <c r="H14" s="12"/>
      <c r="I14" s="12"/>
      <c r="J14" s="12"/>
      <c r="K14" s="25"/>
      <c r="L14" s="25"/>
      <c r="M14" s="28"/>
    </row>
    <row r="15" spans="2:13" ht="20.100000000000001" thickBot="1">
      <c r="B15" s="98" t="s">
        <v>34</v>
      </c>
      <c r="C15" s="99"/>
      <c r="D15" s="99"/>
      <c r="E15" s="12"/>
      <c r="F15" s="12"/>
      <c r="G15" s="12"/>
      <c r="H15" s="12"/>
      <c r="I15" s="12"/>
      <c r="J15" s="12"/>
      <c r="K15" s="25"/>
      <c r="L15" s="25"/>
      <c r="M15" s="28"/>
    </row>
    <row r="16" spans="2:13" ht="20.100000000000001" outlineLevel="1" thickBot="1">
      <c r="B16" s="13"/>
      <c r="C16" s="12"/>
      <c r="D16" s="95" t="s">
        <v>35</v>
      </c>
      <c r="E16" s="96"/>
      <c r="F16" s="96"/>
      <c r="G16" s="96"/>
      <c r="H16" s="96"/>
      <c r="I16" s="96"/>
      <c r="J16" s="97"/>
      <c r="K16" s="93" t="s">
        <v>36</v>
      </c>
      <c r="L16" s="94"/>
      <c r="M16" s="70" t="s">
        <v>37</v>
      </c>
    </row>
    <row r="17" spans="2:13" ht="17.100000000000001" outlineLevel="1" thickBot="1">
      <c r="B17" s="90" t="s">
        <v>38</v>
      </c>
      <c r="C17" s="91"/>
      <c r="D17" s="91"/>
      <c r="E17" s="91"/>
      <c r="F17" s="91"/>
      <c r="G17" s="91"/>
      <c r="H17" s="91"/>
      <c r="I17" s="91"/>
      <c r="J17" s="91"/>
      <c r="K17" s="91"/>
      <c r="L17" s="91"/>
      <c r="M17" s="92"/>
    </row>
    <row r="18" spans="2:13" outlineLevel="1">
      <c r="B18" s="53" t="s">
        <v>39</v>
      </c>
      <c r="C18" s="9" t="s">
        <v>40</v>
      </c>
      <c r="D18" s="9" t="s">
        <v>29</v>
      </c>
      <c r="E18" s="9" t="s">
        <v>30</v>
      </c>
      <c r="F18" s="9" t="s">
        <v>32</v>
      </c>
      <c r="G18" s="10"/>
      <c r="H18" s="9" t="s">
        <v>41</v>
      </c>
      <c r="I18" s="9" t="s">
        <v>42</v>
      </c>
      <c r="J18" s="10"/>
      <c r="K18" s="49" t="s">
        <v>43</v>
      </c>
      <c r="L18" s="47"/>
      <c r="M18" s="54"/>
    </row>
    <row r="19" spans="2:13" outlineLevel="1">
      <c r="B19" s="55" t="s">
        <v>44</v>
      </c>
      <c r="C19" s="1" t="s">
        <v>45</v>
      </c>
      <c r="D19" s="2" t="str">
        <f>C11</f>
        <v>AZ</v>
      </c>
      <c r="E19" s="2" t="str">
        <f>C12</f>
        <v>UW1</v>
      </c>
      <c r="F19" s="2" t="str">
        <f>C13</f>
        <v>SHRDSVC</v>
      </c>
      <c r="G19" s="2"/>
      <c r="H19" s="1" t="s">
        <v>46</v>
      </c>
      <c r="I19" s="3" t="s">
        <v>47</v>
      </c>
      <c r="J19" s="4"/>
      <c r="K19" s="50" t="str">
        <f>D19&amp;"-"&amp;E19&amp;"-"&amp;F19&amp;"-"&amp;H19&amp;"-"&amp;I19</f>
        <v>AZ-UW1-SHRDSVC-NETWORK-RG</v>
      </c>
      <c r="L19" s="2"/>
      <c r="M19" s="56"/>
    </row>
    <row r="20" spans="2:13" outlineLevel="1">
      <c r="B20" s="55" t="s">
        <v>44</v>
      </c>
      <c r="C20" s="1" t="s">
        <v>48</v>
      </c>
      <c r="D20" s="2" t="str">
        <f>C11</f>
        <v>AZ</v>
      </c>
      <c r="E20" s="2" t="str">
        <f>C12</f>
        <v>UW1</v>
      </c>
      <c r="F20" s="2" t="str">
        <f>C13</f>
        <v>SHRDSVC</v>
      </c>
      <c r="G20" s="2"/>
      <c r="H20" s="1" t="s">
        <v>49</v>
      </c>
      <c r="I20" s="3" t="s">
        <v>47</v>
      </c>
      <c r="J20" s="4"/>
      <c r="K20" s="50" t="str">
        <f t="shared" ref="K20:K23" si="0">D20&amp;"-"&amp;E20&amp;"-"&amp;F20&amp;"-"&amp;H20&amp;"-"&amp;I20</f>
        <v>AZ-UW1-SHRDSVC-ADMIN-RG</v>
      </c>
      <c r="L20" s="2"/>
      <c r="M20" s="56"/>
    </row>
    <row r="21" spans="2:13" outlineLevel="1">
      <c r="B21" s="55" t="s">
        <v>44</v>
      </c>
      <c r="C21" s="1" t="s">
        <v>50</v>
      </c>
      <c r="D21" s="2" t="str">
        <f>C11</f>
        <v>AZ</v>
      </c>
      <c r="E21" s="2" t="str">
        <f>C12</f>
        <v>UW1</v>
      </c>
      <c r="F21" s="2" t="str">
        <f>C13</f>
        <v>SHRDSVC</v>
      </c>
      <c r="G21" s="2"/>
      <c r="H21" s="1" t="s">
        <v>51</v>
      </c>
      <c r="I21" s="3" t="s">
        <v>47</v>
      </c>
      <c r="J21" s="4"/>
      <c r="K21" s="50" t="str">
        <f t="shared" si="0"/>
        <v>AZ-UW1-SHRDSVC-BACKUP-RG</v>
      </c>
      <c r="L21" s="2"/>
      <c r="M21" s="56"/>
    </row>
    <row r="22" spans="2:13" outlineLevel="1">
      <c r="B22" s="55" t="s">
        <v>44</v>
      </c>
      <c r="C22" s="1" t="s">
        <v>52</v>
      </c>
      <c r="D22" s="2" t="str">
        <f>C11</f>
        <v>AZ</v>
      </c>
      <c r="E22" s="2" t="str">
        <f>C12</f>
        <v>UW1</v>
      </c>
      <c r="F22" s="2" t="str">
        <f>C13</f>
        <v>SHRDSVC</v>
      </c>
      <c r="G22" s="2"/>
      <c r="H22" s="1" t="s">
        <v>53</v>
      </c>
      <c r="I22" s="3" t="s">
        <v>47</v>
      </c>
      <c r="J22" s="4"/>
      <c r="K22" s="50" t="str">
        <f t="shared" si="0"/>
        <v>AZ-UW1-SHRDSVC-MONITORING-RG</v>
      </c>
      <c r="L22" s="2"/>
      <c r="M22" s="56"/>
    </row>
    <row r="23" spans="2:13" ht="17.100000000000001" outlineLevel="1" thickBot="1">
      <c r="B23" s="57" t="s">
        <v>44</v>
      </c>
      <c r="C23" s="5" t="s">
        <v>54</v>
      </c>
      <c r="D23" s="6" t="str">
        <f>C11</f>
        <v>AZ</v>
      </c>
      <c r="E23" s="6" t="str">
        <f>C12</f>
        <v>UW1</v>
      </c>
      <c r="F23" s="6" t="str">
        <f>C13</f>
        <v>SHRDSVC</v>
      </c>
      <c r="G23" s="6"/>
      <c r="H23" s="5" t="s">
        <v>54</v>
      </c>
      <c r="I23" s="7" t="s">
        <v>47</v>
      </c>
      <c r="J23" s="8"/>
      <c r="K23" s="51" t="str">
        <f t="shared" si="0"/>
        <v>AZ-UW1-SHRDSVC-ADDS-RG</v>
      </c>
      <c r="L23" s="6"/>
      <c r="M23" s="58"/>
    </row>
    <row r="24" spans="2:13" ht="17.100000000000001" outlineLevel="1" thickBot="1">
      <c r="B24" s="90" t="s">
        <v>45</v>
      </c>
      <c r="C24" s="91"/>
      <c r="D24" s="91"/>
      <c r="E24" s="91"/>
      <c r="F24" s="91"/>
      <c r="G24" s="91"/>
      <c r="H24" s="91"/>
      <c r="I24" s="91"/>
      <c r="J24" s="91"/>
      <c r="K24" s="91"/>
      <c r="L24" s="91"/>
      <c r="M24" s="92"/>
    </row>
    <row r="25" spans="2:13" outlineLevel="1">
      <c r="B25" s="53" t="s">
        <v>39</v>
      </c>
      <c r="C25" s="9" t="s">
        <v>40</v>
      </c>
      <c r="D25" s="9" t="s">
        <v>29</v>
      </c>
      <c r="E25" s="9" t="s">
        <v>30</v>
      </c>
      <c r="F25" s="9" t="s">
        <v>32</v>
      </c>
      <c r="G25" s="9" t="s">
        <v>55</v>
      </c>
      <c r="H25" s="9" t="s">
        <v>41</v>
      </c>
      <c r="I25" s="9" t="s">
        <v>56</v>
      </c>
      <c r="J25" s="11" t="s">
        <v>57</v>
      </c>
      <c r="K25" s="49" t="s">
        <v>43</v>
      </c>
      <c r="L25" s="49" t="s">
        <v>58</v>
      </c>
      <c r="M25" s="68" t="s">
        <v>59</v>
      </c>
    </row>
    <row r="26" spans="2:13" outlineLevel="1">
      <c r="B26" s="55" t="s">
        <v>60</v>
      </c>
      <c r="C26" s="1" t="s">
        <v>61</v>
      </c>
      <c r="D26" s="2" t="str">
        <f>C11</f>
        <v>AZ</v>
      </c>
      <c r="E26" s="2" t="str">
        <f>C12</f>
        <v>UW1</v>
      </c>
      <c r="F26" s="2" t="str">
        <f>C13</f>
        <v>SHRDSVC</v>
      </c>
      <c r="G26" s="2"/>
      <c r="H26" s="1" t="s">
        <v>62</v>
      </c>
      <c r="I26" s="3"/>
      <c r="J26" s="3" t="s">
        <v>63</v>
      </c>
      <c r="K26" s="50" t="str">
        <f>D26&amp;"-"&amp;E26&amp;"-"&amp;F26&amp;"-"&amp;H26&amp;I26&amp;J26</f>
        <v>AZ-UW1-SHRDSVC-VN_10.62.0.0_16</v>
      </c>
      <c r="L26" s="2"/>
      <c r="M26" s="69" t="s">
        <v>64</v>
      </c>
    </row>
    <row r="27" spans="2:13" outlineLevel="1">
      <c r="B27" s="55" t="s">
        <v>65</v>
      </c>
      <c r="C27" s="1" t="s">
        <v>54</v>
      </c>
      <c r="D27" s="2" t="str">
        <f>C11</f>
        <v>AZ</v>
      </c>
      <c r="E27" s="2" t="str">
        <f>C12</f>
        <v>UW1</v>
      </c>
      <c r="F27" s="2" t="str">
        <f>C13</f>
        <v>SHRDSVC</v>
      </c>
      <c r="G27" s="1" t="s">
        <v>66</v>
      </c>
      <c r="H27" s="1" t="s">
        <v>67</v>
      </c>
      <c r="I27" s="4"/>
      <c r="J27" s="3" t="s">
        <v>68</v>
      </c>
      <c r="K27" s="50" t="str">
        <f>D27&amp;"-"&amp;E27&amp;"-"&amp;F27&amp;"-"&amp;G27&amp;"-"&amp;H27&amp;J27</f>
        <v>AZ-UW1-SHRDSVC-SERVERS-SN_10.62.20.0_24</v>
      </c>
      <c r="L27" s="50" t="str">
        <f>D27&amp;"-"&amp;E27&amp;"-"&amp;F27&amp;"-"&amp;G27&amp;"-"&amp;H27&amp;"-NS"</f>
        <v>AZ-UW1-SHRDSVC-SERVERS-SN-NS</v>
      </c>
      <c r="M27" s="56"/>
    </row>
    <row r="28" spans="2:13" outlineLevel="1">
      <c r="B28" s="55" t="s">
        <v>65</v>
      </c>
      <c r="C28" s="1" t="s">
        <v>69</v>
      </c>
      <c r="D28" s="2" t="str">
        <f>C11</f>
        <v>AZ</v>
      </c>
      <c r="E28" s="2" t="str">
        <f>C12</f>
        <v>UW1</v>
      </c>
      <c r="F28" s="2" t="str">
        <f>C13</f>
        <v>SHRDSVC</v>
      </c>
      <c r="G28" s="1"/>
      <c r="H28" s="1"/>
      <c r="I28" s="4"/>
      <c r="J28" s="3"/>
      <c r="K28" s="50"/>
      <c r="L28" s="50"/>
      <c r="M28" s="56"/>
    </row>
    <row r="29" spans="2:13" outlineLevel="1">
      <c r="B29" s="55" t="s">
        <v>65</v>
      </c>
      <c r="C29" s="1" t="s">
        <v>48</v>
      </c>
      <c r="D29" s="2" t="str">
        <f>C11</f>
        <v>AZ</v>
      </c>
      <c r="E29" s="2" t="str">
        <f>C12</f>
        <v>UW1</v>
      </c>
      <c r="F29" s="2" t="str">
        <f>C13</f>
        <v>SHRDSVC</v>
      </c>
      <c r="G29" s="1"/>
      <c r="H29" s="1"/>
      <c r="I29" s="4"/>
      <c r="J29" s="3"/>
      <c r="K29" s="50"/>
      <c r="L29" s="50"/>
      <c r="M29" s="56"/>
    </row>
    <row r="30" spans="2:13" outlineLevel="1">
      <c r="B30" s="55" t="s">
        <v>65</v>
      </c>
      <c r="C30" s="1" t="s">
        <v>70</v>
      </c>
      <c r="D30" s="2" t="str">
        <f>C11</f>
        <v>AZ</v>
      </c>
      <c r="E30" s="2" t="str">
        <f>C12</f>
        <v>UW1</v>
      </c>
      <c r="F30" s="2" t="str">
        <f>C13</f>
        <v>SHRDSVC</v>
      </c>
      <c r="G30" s="1"/>
      <c r="H30" s="1"/>
      <c r="I30" s="4"/>
      <c r="J30" s="4"/>
      <c r="K30" s="50"/>
      <c r="L30" s="50"/>
      <c r="M30" s="56"/>
    </row>
    <row r="31" spans="2:13" ht="17.100000000000001" outlineLevel="1" thickBot="1">
      <c r="B31" s="87" t="s">
        <v>71</v>
      </c>
      <c r="C31" s="88"/>
      <c r="D31" s="88"/>
      <c r="E31" s="88"/>
      <c r="F31" s="88"/>
      <c r="G31" s="88"/>
      <c r="H31" s="88"/>
      <c r="I31" s="88"/>
      <c r="J31" s="88"/>
      <c r="K31" s="88"/>
      <c r="L31" s="88"/>
      <c r="M31" s="89"/>
    </row>
    <row r="32" spans="2:13" outlineLevel="1">
      <c r="B32" s="53" t="s">
        <v>39</v>
      </c>
      <c r="C32" s="9" t="s">
        <v>40</v>
      </c>
      <c r="D32" s="9" t="s">
        <v>29</v>
      </c>
      <c r="E32" s="9" t="s">
        <v>30</v>
      </c>
      <c r="F32" s="9" t="s">
        <v>72</v>
      </c>
      <c r="G32" s="9" t="s">
        <v>42</v>
      </c>
      <c r="H32" s="10"/>
      <c r="I32" s="10"/>
      <c r="J32" s="10"/>
      <c r="K32" s="49" t="s">
        <v>43</v>
      </c>
      <c r="L32" s="47"/>
      <c r="M32" s="54"/>
    </row>
    <row r="33" spans="2:13" ht="17.100000000000001" outlineLevel="1" thickBot="1">
      <c r="B33" s="57" t="s">
        <v>73</v>
      </c>
      <c r="C33" s="5" t="s">
        <v>48</v>
      </c>
      <c r="D33" s="43" t="s">
        <v>74</v>
      </c>
      <c r="E33" s="43" t="s">
        <v>75</v>
      </c>
      <c r="F33" s="43" t="s">
        <v>76</v>
      </c>
      <c r="G33" s="46" t="s">
        <v>77</v>
      </c>
      <c r="H33" s="6"/>
      <c r="I33" s="6"/>
      <c r="J33" s="6"/>
      <c r="K33" s="51" t="str">
        <f>LOWER(D33&amp;E33&amp;F33&amp;G33&amp;H33)</f>
        <v>azuw1(firstname,lastname)sa001</v>
      </c>
      <c r="L33" s="6"/>
      <c r="M33" s="58"/>
    </row>
    <row r="34" spans="2:13" ht="17.100000000000001" outlineLevel="1" thickBot="1">
      <c r="B34" s="90" t="s">
        <v>54</v>
      </c>
      <c r="C34" s="91"/>
      <c r="D34" s="91"/>
      <c r="E34" s="91"/>
      <c r="F34" s="91"/>
      <c r="G34" s="91"/>
      <c r="H34" s="91"/>
      <c r="I34" s="91"/>
      <c r="J34" s="91"/>
      <c r="K34" s="91"/>
      <c r="L34" s="101"/>
      <c r="M34" s="92"/>
    </row>
    <row r="35" spans="2:13" outlineLevel="1">
      <c r="B35" s="53" t="s">
        <v>39</v>
      </c>
      <c r="C35" s="9" t="s">
        <v>40</v>
      </c>
      <c r="D35" s="9" t="s">
        <v>29</v>
      </c>
      <c r="E35" s="9" t="s">
        <v>30</v>
      </c>
      <c r="F35" s="9" t="s">
        <v>32</v>
      </c>
      <c r="G35" s="9" t="s">
        <v>41</v>
      </c>
      <c r="H35" s="9" t="s">
        <v>42</v>
      </c>
      <c r="I35" s="10"/>
      <c r="J35" s="10"/>
      <c r="K35" s="49" t="s">
        <v>43</v>
      </c>
      <c r="L35" s="2"/>
      <c r="M35" s="68" t="s">
        <v>78</v>
      </c>
    </row>
    <row r="36" spans="2:13" outlineLevel="1">
      <c r="B36" s="55" t="s">
        <v>79</v>
      </c>
      <c r="C36" s="1" t="s">
        <v>80</v>
      </c>
      <c r="D36" s="1" t="s">
        <v>26</v>
      </c>
      <c r="E36" s="2"/>
      <c r="F36" s="2"/>
      <c r="G36" s="1" t="s">
        <v>81</v>
      </c>
      <c r="H36" s="3" t="s">
        <v>82</v>
      </c>
      <c r="I36" s="2"/>
      <c r="J36" s="2"/>
      <c r="K36" s="50" t="str">
        <f>D36&amp;E36&amp;G36&amp;H36</f>
        <v>AZWUSDC01</v>
      </c>
      <c r="L36" s="2"/>
      <c r="M36" s="69" t="s">
        <v>83</v>
      </c>
    </row>
    <row r="37" spans="2:13" outlineLevel="1">
      <c r="B37" s="55" t="s">
        <v>79</v>
      </c>
      <c r="C37" s="1" t="s">
        <v>80</v>
      </c>
      <c r="D37" s="1" t="s">
        <v>26</v>
      </c>
      <c r="E37" s="2"/>
      <c r="F37" s="2"/>
      <c r="G37" s="1" t="s">
        <v>81</v>
      </c>
      <c r="H37" s="3" t="s">
        <v>84</v>
      </c>
      <c r="I37" s="2"/>
      <c r="J37" s="2"/>
      <c r="K37" s="50" t="str">
        <f>D37&amp;E37&amp;G37&amp;H37</f>
        <v>AZWUSDC02</v>
      </c>
      <c r="L37" s="2"/>
      <c r="M37" s="69" t="s">
        <v>83</v>
      </c>
    </row>
    <row r="38" spans="2:13" outlineLevel="1">
      <c r="B38" s="55" t="s">
        <v>85</v>
      </c>
      <c r="C38" s="1" t="s">
        <v>86</v>
      </c>
      <c r="D38" s="2" t="str">
        <f>C11</f>
        <v>AZ</v>
      </c>
      <c r="E38" s="2" t="str">
        <f>C12</f>
        <v>UW1</v>
      </c>
      <c r="F38" s="2" t="str">
        <f>C13</f>
        <v>SHRDSVC</v>
      </c>
      <c r="G38" s="1" t="s">
        <v>54</v>
      </c>
      <c r="H38" s="3" t="s">
        <v>87</v>
      </c>
      <c r="I38" s="2"/>
      <c r="J38" s="2"/>
      <c r="K38" s="50" t="str">
        <f t="shared" ref="K38:K39" si="1">D38&amp;"-"&amp;E38&amp;"-"&amp;F38&amp;"-"&amp;G38&amp;"-"&amp;H38</f>
        <v>AZ-UW1-SHRDSVC-ADDS-AS</v>
      </c>
      <c r="L38" s="2"/>
      <c r="M38" s="56"/>
    </row>
    <row r="39" spans="2:13" ht="17.100000000000001" outlineLevel="1" thickBot="1">
      <c r="B39" s="57" t="s">
        <v>88</v>
      </c>
      <c r="C39" s="5" t="s">
        <v>86</v>
      </c>
      <c r="D39" s="6" t="str">
        <f>C11</f>
        <v>AZ</v>
      </c>
      <c r="E39" s="6" t="str">
        <f>C12</f>
        <v>UW1</v>
      </c>
      <c r="F39" s="6" t="str">
        <f>C13</f>
        <v>SHRDSVC</v>
      </c>
      <c r="G39" s="5" t="s">
        <v>54</v>
      </c>
      <c r="H39" s="7" t="s">
        <v>89</v>
      </c>
      <c r="I39" s="6"/>
      <c r="J39" s="6"/>
      <c r="K39" s="51" t="str">
        <f t="shared" si="1"/>
        <v>AZ-UW1-SHRDSVC-ADDS-AG</v>
      </c>
      <c r="L39" s="6"/>
      <c r="M39" s="58"/>
    </row>
    <row r="40" spans="2:13" ht="17.100000000000001" outlineLevel="1" thickBot="1">
      <c r="B40" s="90" t="s">
        <v>90</v>
      </c>
      <c r="C40" s="91"/>
      <c r="D40" s="91"/>
      <c r="E40" s="91"/>
      <c r="F40" s="91"/>
      <c r="G40" s="91"/>
      <c r="H40" s="91"/>
      <c r="I40" s="91"/>
      <c r="J40" s="91"/>
      <c r="K40" s="91"/>
      <c r="L40" s="91"/>
      <c r="M40" s="92"/>
    </row>
    <row r="41" spans="2:13" outlineLevel="1">
      <c r="B41" s="53" t="s">
        <v>39</v>
      </c>
      <c r="C41" s="9" t="s">
        <v>40</v>
      </c>
      <c r="D41" s="9" t="s">
        <v>29</v>
      </c>
      <c r="E41" s="9" t="s">
        <v>30</v>
      </c>
      <c r="F41" s="9" t="s">
        <v>32</v>
      </c>
      <c r="G41" s="9" t="s">
        <v>42</v>
      </c>
      <c r="H41" s="10"/>
      <c r="I41" s="10"/>
      <c r="J41" s="10"/>
      <c r="K41" s="49" t="s">
        <v>43</v>
      </c>
      <c r="L41" s="47"/>
      <c r="M41" s="54"/>
    </row>
    <row r="42" spans="2:13" s="33" customFormat="1" outlineLevel="1">
      <c r="B42" s="59" t="s">
        <v>91</v>
      </c>
      <c r="C42" s="31" t="s">
        <v>92</v>
      </c>
      <c r="D42" s="32" t="str">
        <f>C11</f>
        <v>AZ</v>
      </c>
      <c r="E42" s="32" t="str">
        <f>C12</f>
        <v>UW1</v>
      </c>
      <c r="F42" s="43" t="s">
        <v>76</v>
      </c>
      <c r="G42" s="31" t="s">
        <v>93</v>
      </c>
      <c r="H42" s="32"/>
      <c r="I42" s="32"/>
      <c r="J42" s="32"/>
      <c r="K42" s="50" t="str">
        <f>D42&amp;"-"&amp;E42&amp;"-"&amp;F42&amp;"-"&amp;G42</f>
        <v>AZ-UW1-(firstname,lastname)-LA</v>
      </c>
      <c r="L42" s="48"/>
      <c r="M42" s="60"/>
    </row>
    <row r="43" spans="2:13" outlineLevel="1">
      <c r="B43" s="55" t="s">
        <v>94</v>
      </c>
      <c r="C43" s="1" t="s">
        <v>92</v>
      </c>
      <c r="D43" s="2" t="str">
        <f>C11</f>
        <v>AZ</v>
      </c>
      <c r="E43" s="2" t="str">
        <f>C12</f>
        <v>UW1</v>
      </c>
      <c r="F43" s="43" t="s">
        <v>76</v>
      </c>
      <c r="G43" s="1" t="s">
        <v>95</v>
      </c>
      <c r="H43" s="4"/>
      <c r="I43" s="2"/>
      <c r="J43" s="2"/>
      <c r="K43" s="50" t="str">
        <f>D43&amp;"-"&amp;E43&amp;"-"&amp;F43&amp;"-"&amp;G43</f>
        <v>AZ-UW1-(firstname,lastname)-KV</v>
      </c>
      <c r="L43" s="2"/>
      <c r="M43" s="56"/>
    </row>
    <row r="44" spans="2:13" outlineLevel="1">
      <c r="B44" s="55" t="s">
        <v>96</v>
      </c>
      <c r="C44" s="1" t="s">
        <v>92</v>
      </c>
      <c r="D44" s="2" t="str">
        <f>C11</f>
        <v>AZ</v>
      </c>
      <c r="E44" s="2" t="str">
        <f>C12</f>
        <v>UW1</v>
      </c>
      <c r="F44" s="2" t="str">
        <f>C13</f>
        <v>SHRDSVC</v>
      </c>
      <c r="G44" s="1" t="s">
        <v>97</v>
      </c>
      <c r="H44" s="4"/>
      <c r="I44" s="2"/>
      <c r="J44" s="2"/>
      <c r="K44" s="50" t="str">
        <f t="shared" ref="K44:K45" si="2">D44&amp;"-"&amp;E44&amp;"-"&amp;F44&amp;"-"&amp;G44</f>
        <v>AZ-UW1-SHRDSVC-BACKUP-RV</v>
      </c>
      <c r="L44" s="2"/>
      <c r="M44" s="56"/>
    </row>
    <row r="45" spans="2:13" ht="17.100000000000001" outlineLevel="1" thickBot="1">
      <c r="B45" s="61" t="s">
        <v>98</v>
      </c>
      <c r="C45" s="62" t="s">
        <v>92</v>
      </c>
      <c r="D45" s="63" t="str">
        <f>C11</f>
        <v>AZ</v>
      </c>
      <c r="E45" s="63" t="str">
        <f>C12</f>
        <v>UW1</v>
      </c>
      <c r="F45" s="63" t="str">
        <f>C13</f>
        <v>SHRDSVC</v>
      </c>
      <c r="G45" s="62" t="s">
        <v>99</v>
      </c>
      <c r="H45" s="64"/>
      <c r="I45" s="63"/>
      <c r="J45" s="63"/>
      <c r="K45" s="65" t="str">
        <f t="shared" si="2"/>
        <v>AZ-UW1-SHRDSVC-AA</v>
      </c>
      <c r="L45" s="63"/>
      <c r="M45" s="66"/>
    </row>
    <row r="46" spans="2:13" ht="17.100000000000001" thickBot="1">
      <c r="B46" s="17"/>
      <c r="C46" s="17"/>
      <c r="D46" s="17"/>
      <c r="E46" s="17"/>
      <c r="F46" s="17"/>
      <c r="G46" s="17"/>
      <c r="H46" s="18"/>
      <c r="I46" s="17"/>
      <c r="J46" s="17"/>
      <c r="K46" s="19"/>
    </row>
    <row r="47" spans="2:13" ht="18.75" customHeight="1">
      <c r="B47" s="26" t="s">
        <v>100</v>
      </c>
      <c r="C47" s="27"/>
      <c r="D47" s="27"/>
      <c r="E47" s="27"/>
      <c r="F47" s="27"/>
      <c r="G47" s="27"/>
      <c r="H47" s="27"/>
      <c r="I47" s="27"/>
      <c r="J47" s="27"/>
      <c r="K47" s="27"/>
      <c r="L47" s="27"/>
      <c r="M47" s="22"/>
    </row>
    <row r="48" spans="2:13" ht="63" customHeight="1">
      <c r="B48" s="106" t="s">
        <v>101</v>
      </c>
      <c r="C48" s="107"/>
      <c r="D48" s="107"/>
      <c r="E48" s="107"/>
      <c r="F48" s="107"/>
      <c r="G48" s="25"/>
      <c r="H48" s="25"/>
      <c r="I48" s="25"/>
      <c r="J48" s="25"/>
      <c r="K48" s="25"/>
      <c r="L48" s="25"/>
      <c r="M48" s="23"/>
    </row>
    <row r="49" spans="2:26" ht="18.95">
      <c r="B49" s="104" t="s">
        <v>102</v>
      </c>
      <c r="C49" s="105"/>
      <c r="D49" s="105"/>
      <c r="E49" s="105"/>
      <c r="F49" s="67"/>
      <c r="G49" s="25"/>
      <c r="H49" s="25"/>
      <c r="I49" s="25"/>
      <c r="J49" s="25"/>
      <c r="K49" s="25"/>
      <c r="L49" s="25"/>
      <c r="M49" s="23"/>
    </row>
    <row r="50" spans="2:26" ht="15.75" customHeight="1" thickBot="1">
      <c r="B50" s="29"/>
      <c r="C50" s="30"/>
      <c r="D50" s="30"/>
      <c r="E50" s="30"/>
      <c r="F50" s="30"/>
      <c r="G50" s="30"/>
      <c r="H50" s="30"/>
      <c r="I50" s="30"/>
      <c r="J50" s="30"/>
      <c r="K50" s="30"/>
      <c r="L50" s="30"/>
      <c r="M50" s="24"/>
    </row>
    <row r="51" spans="2:26" ht="17.100000000000001" thickBot="1">
      <c r="B51" s="20"/>
      <c r="C51" s="20"/>
      <c r="D51" s="20"/>
      <c r="E51" s="20"/>
      <c r="F51" s="20"/>
      <c r="G51" s="20"/>
      <c r="H51" s="20"/>
      <c r="I51" s="20"/>
      <c r="J51" s="20"/>
      <c r="K51" s="20"/>
    </row>
    <row r="52" spans="2:26">
      <c r="B52" s="100" t="s">
        <v>103</v>
      </c>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row>
    <row r="53" spans="2:26" s="35" customFormat="1" ht="33.950000000000003">
      <c r="B53" s="34" t="s">
        <v>104</v>
      </c>
      <c r="C53" s="34" t="s">
        <v>105</v>
      </c>
      <c r="D53" s="34" t="s">
        <v>39</v>
      </c>
      <c r="E53" s="34" t="s">
        <v>106</v>
      </c>
      <c r="F53" s="34" t="s">
        <v>107</v>
      </c>
      <c r="G53" s="34" t="s">
        <v>108</v>
      </c>
      <c r="H53" s="34" t="s">
        <v>109</v>
      </c>
      <c r="I53" s="34" t="s">
        <v>110</v>
      </c>
      <c r="J53" s="34" t="s">
        <v>44</v>
      </c>
      <c r="K53" s="34" t="s">
        <v>111</v>
      </c>
      <c r="L53" s="34" t="s">
        <v>112</v>
      </c>
      <c r="M53" s="34" t="s">
        <v>113</v>
      </c>
      <c r="N53" s="34" t="s">
        <v>114</v>
      </c>
      <c r="O53" s="34" t="s">
        <v>115</v>
      </c>
      <c r="P53" s="34" t="s">
        <v>116</v>
      </c>
      <c r="Q53" s="34" t="s">
        <v>117</v>
      </c>
      <c r="R53" s="34" t="s">
        <v>118</v>
      </c>
      <c r="S53" s="34" t="s">
        <v>119</v>
      </c>
      <c r="T53" s="34" t="s">
        <v>120</v>
      </c>
      <c r="U53" s="34" t="s">
        <v>121</v>
      </c>
      <c r="V53" s="34" t="s">
        <v>122</v>
      </c>
      <c r="W53" s="34" t="s">
        <v>123</v>
      </c>
      <c r="X53" s="34" t="s">
        <v>124</v>
      </c>
      <c r="Y53" s="34" t="s">
        <v>125</v>
      </c>
      <c r="Z53" s="34" t="s">
        <v>126</v>
      </c>
    </row>
    <row r="54" spans="2:26">
      <c r="B54" s="2" t="str">
        <f>C5</f>
        <v>IT Infrastructure</v>
      </c>
      <c r="C54" s="2" t="str">
        <f>C6</f>
        <v>West US</v>
      </c>
      <c r="D54" s="1" t="s">
        <v>44</v>
      </c>
      <c r="E54" s="1" t="str">
        <f>K19</f>
        <v>AZ-UW1-SHRDSVC-NETWORK-RG</v>
      </c>
      <c r="F54" s="1"/>
      <c r="G54" s="1"/>
      <c r="H54" s="1"/>
      <c r="I54" s="1"/>
      <c r="J54" s="1"/>
      <c r="K54" s="1"/>
      <c r="L54" s="1"/>
      <c r="M54" s="1"/>
      <c r="N54" s="44"/>
      <c r="O54" s="44"/>
      <c r="P54" s="44"/>
      <c r="Q54" s="44"/>
      <c r="R54" s="44"/>
      <c r="S54" s="44"/>
      <c r="T54" s="44"/>
      <c r="U54" s="44"/>
      <c r="V54" s="44"/>
      <c r="W54" s="44"/>
      <c r="X54" s="44"/>
      <c r="Y54" s="44"/>
      <c r="Z54" s="44"/>
    </row>
    <row r="55" spans="2:26">
      <c r="B55" s="2" t="str">
        <f>C5</f>
        <v>IT Infrastructure</v>
      </c>
      <c r="C55" s="2" t="str">
        <f>C6</f>
        <v>West US</v>
      </c>
      <c r="D55" s="1" t="s">
        <v>44</v>
      </c>
      <c r="E55" s="1" t="str">
        <f t="shared" ref="E55:E58" si="3">K20</f>
        <v>AZ-UW1-SHRDSVC-ADMIN-RG</v>
      </c>
      <c r="F55" s="1"/>
      <c r="G55" s="1"/>
      <c r="H55" s="1"/>
      <c r="I55" s="1"/>
      <c r="J55" s="1"/>
      <c r="K55" s="1"/>
      <c r="L55" s="1"/>
      <c r="M55" s="1"/>
      <c r="N55" s="44"/>
      <c r="O55" s="44"/>
      <c r="P55" s="44"/>
      <c r="Q55" s="44"/>
      <c r="R55" s="44"/>
      <c r="S55" s="44"/>
      <c r="T55" s="44"/>
      <c r="U55" s="44"/>
      <c r="V55" s="44"/>
      <c r="W55" s="44"/>
      <c r="X55" s="44"/>
      <c r="Y55" s="44"/>
      <c r="Z55" s="44"/>
    </row>
    <row r="56" spans="2:26">
      <c r="B56" s="2" t="str">
        <f>C5</f>
        <v>IT Infrastructure</v>
      </c>
      <c r="C56" s="2" t="str">
        <f>C6</f>
        <v>West US</v>
      </c>
      <c r="D56" s="1" t="s">
        <v>44</v>
      </c>
      <c r="E56" s="1" t="str">
        <f t="shared" si="3"/>
        <v>AZ-UW1-SHRDSVC-BACKUP-RG</v>
      </c>
      <c r="F56" s="1"/>
      <c r="G56" s="1"/>
      <c r="H56" s="1"/>
      <c r="I56" s="1"/>
      <c r="J56" s="1"/>
      <c r="K56" s="1"/>
      <c r="L56" s="1"/>
      <c r="M56" s="1"/>
      <c r="N56" s="44"/>
      <c r="O56" s="44"/>
      <c r="P56" s="44"/>
      <c r="Q56" s="44"/>
      <c r="R56" s="44"/>
      <c r="S56" s="44"/>
      <c r="T56" s="44"/>
      <c r="U56" s="44"/>
      <c r="V56" s="44"/>
      <c r="W56" s="44"/>
      <c r="X56" s="44"/>
      <c r="Y56" s="44"/>
      <c r="Z56" s="44"/>
    </row>
    <row r="57" spans="2:26">
      <c r="B57" s="2" t="str">
        <f>C5</f>
        <v>IT Infrastructure</v>
      </c>
      <c r="C57" s="2" t="str">
        <f>C6</f>
        <v>West US</v>
      </c>
      <c r="D57" s="1" t="s">
        <v>44</v>
      </c>
      <c r="E57" s="1" t="str">
        <f t="shared" si="3"/>
        <v>AZ-UW1-SHRDSVC-MONITORING-RG</v>
      </c>
      <c r="F57" s="1"/>
      <c r="G57" s="1"/>
      <c r="H57" s="1"/>
      <c r="I57" s="1"/>
      <c r="J57" s="1"/>
      <c r="K57" s="1"/>
      <c r="L57" s="1"/>
      <c r="M57" s="1"/>
      <c r="N57" s="44"/>
      <c r="O57" s="44"/>
      <c r="P57" s="44"/>
      <c r="Q57" s="44"/>
      <c r="R57" s="44"/>
      <c r="S57" s="44"/>
      <c r="T57" s="44"/>
      <c r="U57" s="44"/>
      <c r="V57" s="44"/>
      <c r="W57" s="44"/>
      <c r="X57" s="44"/>
      <c r="Y57" s="44"/>
      <c r="Z57" s="44"/>
    </row>
    <row r="58" spans="2:26">
      <c r="B58" s="2" t="str">
        <f>C5</f>
        <v>IT Infrastructure</v>
      </c>
      <c r="C58" s="2" t="str">
        <f>C6</f>
        <v>West US</v>
      </c>
      <c r="D58" s="1" t="s">
        <v>44</v>
      </c>
      <c r="E58" s="1" t="str">
        <f t="shared" si="3"/>
        <v>AZ-UW1-SHRDSVC-ADDS-RG</v>
      </c>
      <c r="F58" s="1"/>
      <c r="G58" s="1"/>
      <c r="H58" s="1"/>
      <c r="I58" s="1"/>
      <c r="J58" s="1"/>
      <c r="K58" s="1"/>
      <c r="L58" s="1"/>
      <c r="M58" s="1"/>
      <c r="N58" s="44"/>
      <c r="O58" s="44"/>
      <c r="P58" s="44"/>
      <c r="Q58" s="44"/>
      <c r="R58" s="44"/>
      <c r="S58" s="44"/>
      <c r="T58" s="44"/>
      <c r="U58" s="44"/>
      <c r="V58" s="44"/>
      <c r="W58" s="44"/>
      <c r="X58" s="44"/>
      <c r="Y58" s="44"/>
      <c r="Z58" s="44"/>
    </row>
    <row r="59" spans="2:26">
      <c r="B59" s="2" t="str">
        <f>C5</f>
        <v>IT Infrastructure</v>
      </c>
      <c r="C59" s="2" t="str">
        <f>C6</f>
        <v>West US</v>
      </c>
      <c r="D59" s="1" t="s">
        <v>127</v>
      </c>
      <c r="E59" s="1" t="str">
        <f>K26</f>
        <v>AZ-UW1-SHRDSVC-VN_10.62.0.0_16</v>
      </c>
      <c r="F59" s="1"/>
      <c r="G59" s="1"/>
      <c r="H59" s="3" t="str">
        <f>J26</f>
        <v>_10.62.0.0_16</v>
      </c>
      <c r="I59" s="42" t="str">
        <f>M26</f>
        <v>Default</v>
      </c>
      <c r="J59" s="1" t="str">
        <f>K19</f>
        <v>AZ-UW1-SHRDSVC-NETWORK-RG</v>
      </c>
      <c r="K59" s="1" t="s">
        <v>128</v>
      </c>
      <c r="L59" s="42" t="str">
        <f>E59&amp;"-LOCK"</f>
        <v>AZ-UW1-SHRDSVC-VN_10.62.0.0_16-LOCK</v>
      </c>
      <c r="M59" s="1"/>
      <c r="N59" s="44"/>
      <c r="O59" s="44"/>
      <c r="P59" s="44"/>
      <c r="Q59" s="44"/>
      <c r="R59" s="44"/>
      <c r="S59" s="44"/>
      <c r="T59" s="44"/>
      <c r="U59" s="44"/>
      <c r="V59" s="44"/>
      <c r="W59" s="44"/>
      <c r="X59" s="44"/>
      <c r="Y59" s="44"/>
      <c r="Z59" s="44"/>
    </row>
    <row r="60" spans="2:26">
      <c r="B60" s="2" t="str">
        <f>C5</f>
        <v>IT Infrastructure</v>
      </c>
      <c r="C60" s="2" t="str">
        <f>C6</f>
        <v>West US</v>
      </c>
      <c r="D60" s="1" t="s">
        <v>127</v>
      </c>
      <c r="E60" s="1"/>
      <c r="F60" s="1" t="s">
        <v>65</v>
      </c>
      <c r="G60" s="76" t="str">
        <f>K27</f>
        <v>AZ-UW1-SHRDSVC-SERVERS-SN_10.62.20.0_24</v>
      </c>
      <c r="H60" s="3" t="str">
        <f t="shared" ref="H60" si="4">J27</f>
        <v>_10.62.20.0_24</v>
      </c>
      <c r="I60" s="1"/>
      <c r="J60" s="1" t="str">
        <f>K19</f>
        <v>AZ-UW1-SHRDSVC-NETWORK-RG</v>
      </c>
      <c r="K60" s="1"/>
      <c r="L60" s="1"/>
      <c r="M60" s="1"/>
      <c r="N60" s="44"/>
      <c r="O60" s="44"/>
      <c r="P60" s="44"/>
      <c r="Q60" s="44"/>
      <c r="R60" s="44"/>
      <c r="S60" s="44"/>
      <c r="T60" s="44"/>
      <c r="U60" s="44"/>
      <c r="V60" s="44"/>
      <c r="W60" s="44"/>
      <c r="X60" s="44"/>
      <c r="Y60" s="44"/>
      <c r="Z60" s="44"/>
    </row>
    <row r="61" spans="2:26">
      <c r="B61" s="2" t="str">
        <f>C5</f>
        <v>IT Infrastructure</v>
      </c>
      <c r="C61" s="2" t="str">
        <f>C6</f>
        <v>West US</v>
      </c>
      <c r="D61" s="1" t="s">
        <v>129</v>
      </c>
      <c r="E61" s="1" t="str">
        <f>L27</f>
        <v>AZ-UW1-SHRDSVC-SERVERS-SN-NS</v>
      </c>
      <c r="F61" s="1"/>
      <c r="G61" s="1"/>
      <c r="H61" s="3"/>
      <c r="I61" s="1"/>
      <c r="J61" s="1"/>
      <c r="K61" s="1"/>
      <c r="L61" s="1"/>
      <c r="M61" s="1"/>
      <c r="N61" s="44"/>
      <c r="O61" s="44"/>
      <c r="P61" s="44"/>
      <c r="Q61" s="44"/>
      <c r="R61" s="44"/>
      <c r="S61" s="44"/>
      <c r="T61" s="44"/>
      <c r="U61" s="44"/>
      <c r="V61" s="44"/>
      <c r="W61" s="44"/>
      <c r="X61" s="44"/>
      <c r="Y61" s="44"/>
      <c r="Z61" s="44"/>
    </row>
    <row r="62" spans="2:26">
      <c r="B62" s="2" t="str">
        <f>C5</f>
        <v>IT Infrastructure</v>
      </c>
      <c r="C62" s="2" t="str">
        <f>C6</f>
        <v>West US</v>
      </c>
      <c r="D62" s="1" t="s">
        <v>129</v>
      </c>
      <c r="E62" s="1" t="str">
        <f>L27</f>
        <v>AZ-UW1-SHRDSVC-SERVERS-SN-NS</v>
      </c>
      <c r="F62" s="1" t="s">
        <v>130</v>
      </c>
      <c r="G62" s="1" t="str">
        <f>K27</f>
        <v>AZ-UW1-SHRDSVC-SERVERS-SN_10.62.20.0_24</v>
      </c>
      <c r="H62" s="1"/>
      <c r="I62" s="1"/>
      <c r="J62" s="1" t="str">
        <f>K19</f>
        <v>AZ-UW1-SHRDSVC-NETWORK-RG</v>
      </c>
      <c r="K62" s="1"/>
      <c r="L62" s="1"/>
      <c r="M62" s="1"/>
      <c r="N62" s="44"/>
      <c r="O62" s="44"/>
      <c r="P62" s="44"/>
      <c r="Q62" s="44"/>
      <c r="R62" s="44"/>
      <c r="S62" s="44"/>
      <c r="T62" s="44"/>
      <c r="U62" s="44"/>
      <c r="V62" s="44"/>
      <c r="W62" s="44"/>
      <c r="X62" s="44"/>
      <c r="Y62" s="44"/>
      <c r="Z62" s="44"/>
    </row>
    <row r="63" spans="2:26">
      <c r="B63" s="2" t="str">
        <f>C5</f>
        <v>IT Infrastructure</v>
      </c>
      <c r="C63" s="2" t="str">
        <f>C6</f>
        <v>West US</v>
      </c>
      <c r="D63" s="1" t="s">
        <v>127</v>
      </c>
      <c r="E63" s="44" t="s">
        <v>131</v>
      </c>
      <c r="F63" s="1" t="s">
        <v>132</v>
      </c>
      <c r="G63" s="44" t="s">
        <v>133</v>
      </c>
      <c r="H63" s="1"/>
      <c r="I63" s="1"/>
      <c r="J63" s="1"/>
      <c r="K63" s="1"/>
      <c r="L63" s="1"/>
      <c r="M63" s="1"/>
      <c r="N63" s="44"/>
      <c r="O63" s="44"/>
      <c r="P63" s="44"/>
      <c r="Q63" s="44"/>
      <c r="R63" s="44"/>
      <c r="S63" s="44"/>
      <c r="T63" s="44"/>
      <c r="U63" s="44"/>
      <c r="V63" s="44"/>
      <c r="W63" s="44"/>
      <c r="X63" s="44"/>
      <c r="Y63" s="44"/>
      <c r="Z63" s="44"/>
    </row>
    <row r="64" spans="2:26">
      <c r="B64" s="2" t="str">
        <f>C5</f>
        <v>IT Infrastructure</v>
      </c>
      <c r="C64" s="2" t="str">
        <f>C6</f>
        <v>West US</v>
      </c>
      <c r="D64" s="1" t="s">
        <v>73</v>
      </c>
      <c r="E64" s="1" t="str">
        <f>K33</f>
        <v>azuw1(firstname,lastname)sa001</v>
      </c>
      <c r="F64" s="1"/>
      <c r="G64" s="1"/>
      <c r="H64" s="1"/>
      <c r="I64" s="1"/>
      <c r="J64" s="1" t="str">
        <f>K20</f>
        <v>AZ-UW1-SHRDSVC-ADMIN-RG</v>
      </c>
      <c r="K64" s="1"/>
      <c r="L64" s="1"/>
      <c r="M64" s="1"/>
      <c r="N64" s="44"/>
      <c r="O64" s="44"/>
      <c r="P64" s="44"/>
      <c r="Q64" s="44"/>
      <c r="R64" s="44"/>
      <c r="S64" s="44"/>
      <c r="T64" s="44"/>
      <c r="U64" s="44"/>
      <c r="V64" s="44"/>
      <c r="W64" s="44" t="s">
        <v>134</v>
      </c>
      <c r="X64" s="44" t="s">
        <v>135</v>
      </c>
      <c r="Y64" s="44" t="s">
        <v>136</v>
      </c>
      <c r="Z64" s="44" t="s">
        <v>137</v>
      </c>
    </row>
    <row r="65" spans="2:26">
      <c r="B65" s="2" t="str">
        <f>C5</f>
        <v>IT Infrastructure</v>
      </c>
      <c r="C65" s="2" t="str">
        <f>C6</f>
        <v>West US</v>
      </c>
      <c r="D65" s="1" t="s">
        <v>94</v>
      </c>
      <c r="E65" s="1" t="str">
        <f>K43</f>
        <v>AZ-UW1-(firstname,lastname)-KV</v>
      </c>
      <c r="F65" s="1"/>
      <c r="G65" s="1"/>
      <c r="H65" s="1"/>
      <c r="I65" s="1"/>
      <c r="J65" s="1" t="str">
        <f>K20</f>
        <v>AZ-UW1-SHRDSVC-ADMIN-RG</v>
      </c>
      <c r="K65" s="1"/>
      <c r="L65" s="1"/>
      <c r="M65" s="1"/>
      <c r="N65" s="44"/>
      <c r="O65" s="44"/>
      <c r="P65" s="44"/>
      <c r="Q65" s="44"/>
      <c r="R65" s="44"/>
      <c r="S65" s="44"/>
      <c r="T65" s="44" t="s">
        <v>137</v>
      </c>
      <c r="U65" s="44" t="s">
        <v>138</v>
      </c>
      <c r="V65" s="44" t="s">
        <v>139</v>
      </c>
      <c r="W65" s="44"/>
      <c r="X65" s="44"/>
      <c r="Y65" s="44"/>
      <c r="Z65" s="44"/>
    </row>
    <row r="66" spans="2:26">
      <c r="B66" s="2" t="str">
        <f>C5</f>
        <v>IT Infrastructure</v>
      </c>
      <c r="C66" s="2" t="str">
        <f>C6</f>
        <v>West US</v>
      </c>
      <c r="D66" s="1" t="s">
        <v>140</v>
      </c>
      <c r="E66" s="1" t="str">
        <f>K44</f>
        <v>AZ-UW1-SHRDSVC-BACKUP-RV</v>
      </c>
      <c r="F66" s="1"/>
      <c r="G66" s="1"/>
      <c r="H66" s="1"/>
      <c r="I66" s="1"/>
      <c r="J66" s="1" t="str">
        <f>K21</f>
        <v>AZ-UW1-SHRDSVC-BACKUP-RG</v>
      </c>
      <c r="K66" s="1"/>
      <c r="L66" s="1"/>
      <c r="M66" s="1"/>
      <c r="N66" s="44"/>
      <c r="O66" s="44"/>
      <c r="P66" s="44"/>
      <c r="Q66" s="44"/>
      <c r="R66" s="44"/>
      <c r="S66" s="44"/>
      <c r="T66" s="44"/>
      <c r="U66" s="44"/>
      <c r="V66" s="44"/>
      <c r="W66" s="44" t="s">
        <v>134</v>
      </c>
      <c r="X66" s="44" t="s">
        <v>135</v>
      </c>
      <c r="Y66" s="44" t="s">
        <v>136</v>
      </c>
      <c r="Z66" s="44" t="s">
        <v>137</v>
      </c>
    </row>
    <row r="67" spans="2:26">
      <c r="B67" s="2" t="str">
        <f>C5</f>
        <v>IT Infrastructure</v>
      </c>
      <c r="C67" s="2" t="str">
        <f>C6</f>
        <v>West US</v>
      </c>
      <c r="D67" s="1" t="s">
        <v>91</v>
      </c>
      <c r="E67" s="1" t="str">
        <f>K42</f>
        <v>AZ-UW1-(firstname,lastname)-LA</v>
      </c>
      <c r="F67" s="1"/>
      <c r="G67" s="1"/>
      <c r="H67" s="1"/>
      <c r="I67" s="1"/>
      <c r="J67" s="1" t="str">
        <f>K22</f>
        <v>AZ-UW1-SHRDSVC-MONITORING-RG</v>
      </c>
      <c r="K67" s="1"/>
      <c r="L67" s="1"/>
      <c r="M67" s="1"/>
      <c r="N67" s="44"/>
      <c r="O67" s="44"/>
      <c r="P67" s="44"/>
      <c r="Q67" s="44"/>
      <c r="R67" s="44"/>
      <c r="S67" s="44" t="s">
        <v>141</v>
      </c>
      <c r="T67" s="44"/>
      <c r="U67" s="44"/>
      <c r="V67" s="44"/>
      <c r="W67" s="44"/>
      <c r="X67" s="44"/>
      <c r="Y67" s="44"/>
      <c r="Z67" s="44"/>
    </row>
    <row r="68" spans="2:26">
      <c r="B68" s="2" t="str">
        <f>C5</f>
        <v>IT Infrastructure</v>
      </c>
      <c r="C68" s="2" t="str">
        <f>C6</f>
        <v>West US</v>
      </c>
      <c r="D68" s="1" t="s">
        <v>91</v>
      </c>
      <c r="E68" s="1" t="str">
        <f>K42</f>
        <v>AZ-UW1-(firstname,lastname)-LA</v>
      </c>
      <c r="F68" s="1" t="s">
        <v>142</v>
      </c>
      <c r="G68" s="1" t="s">
        <v>143</v>
      </c>
      <c r="H68" s="1"/>
      <c r="I68" s="1"/>
      <c r="J68" s="1" t="str">
        <f>K22</f>
        <v>AZ-UW1-SHRDSVC-MONITORING-RG</v>
      </c>
      <c r="K68" s="1"/>
      <c r="L68" s="1"/>
      <c r="M68" s="1"/>
      <c r="N68" s="44"/>
      <c r="O68" s="44"/>
      <c r="P68" s="44"/>
      <c r="Q68" s="44"/>
      <c r="R68" s="44"/>
      <c r="S68" s="44"/>
      <c r="T68" s="44"/>
      <c r="U68" s="44"/>
      <c r="V68" s="44"/>
      <c r="W68" s="44"/>
      <c r="X68" s="44"/>
      <c r="Y68" s="44"/>
      <c r="Z68" s="44"/>
    </row>
    <row r="69" spans="2:26">
      <c r="B69" s="2" t="str">
        <f>C5</f>
        <v>IT Infrastructure</v>
      </c>
      <c r="C69" s="2" t="str">
        <f>C6</f>
        <v>West US</v>
      </c>
      <c r="D69" s="1" t="s">
        <v>91</v>
      </c>
      <c r="E69" s="1" t="str">
        <f>K42</f>
        <v>AZ-UW1-(firstname,lastname)-LA</v>
      </c>
      <c r="F69" s="1" t="s">
        <v>142</v>
      </c>
      <c r="G69" s="1" t="s">
        <v>144</v>
      </c>
      <c r="H69" s="1"/>
      <c r="I69" s="1"/>
      <c r="J69" s="1" t="str">
        <f>K22</f>
        <v>AZ-UW1-SHRDSVC-MONITORING-RG</v>
      </c>
      <c r="K69" s="1"/>
      <c r="L69" s="1"/>
      <c r="M69" s="1"/>
      <c r="N69" s="44"/>
      <c r="O69" s="44"/>
      <c r="P69" s="44"/>
      <c r="Q69" s="44"/>
      <c r="R69" s="44"/>
      <c r="S69" s="44"/>
      <c r="T69" s="44"/>
      <c r="U69" s="44"/>
      <c r="V69" s="44"/>
      <c r="W69" s="44"/>
      <c r="X69" s="44"/>
      <c r="Y69" s="44"/>
      <c r="Z69" s="44"/>
    </row>
    <row r="70" spans="2:26">
      <c r="B70" s="2" t="str">
        <f>C5</f>
        <v>IT Infrastructure</v>
      </c>
      <c r="C70" s="2" t="str">
        <f>C6</f>
        <v>West US</v>
      </c>
      <c r="D70" s="1" t="s">
        <v>91</v>
      </c>
      <c r="E70" s="1" t="str">
        <f>K42</f>
        <v>AZ-UW1-(firstname,lastname)-LA</v>
      </c>
      <c r="F70" s="1" t="s">
        <v>142</v>
      </c>
      <c r="G70" s="1" t="s">
        <v>145</v>
      </c>
      <c r="H70" s="1"/>
      <c r="I70" s="1"/>
      <c r="J70" s="1" t="str">
        <f>K22</f>
        <v>AZ-UW1-SHRDSVC-MONITORING-RG</v>
      </c>
      <c r="K70" s="1"/>
      <c r="L70" s="1"/>
      <c r="M70" s="1"/>
      <c r="N70" s="44"/>
      <c r="O70" s="44"/>
      <c r="P70" s="44"/>
      <c r="Q70" s="44"/>
      <c r="R70" s="44"/>
      <c r="S70" s="44"/>
      <c r="T70" s="44"/>
      <c r="U70" s="44"/>
      <c r="V70" s="44"/>
      <c r="W70" s="44"/>
      <c r="X70" s="44"/>
      <c r="Y70" s="44"/>
      <c r="Z70" s="44"/>
    </row>
    <row r="71" spans="2:26">
      <c r="B71" s="2" t="str">
        <f>C5</f>
        <v>IT Infrastructure</v>
      </c>
      <c r="C71" s="2" t="str">
        <f>C6</f>
        <v>West US</v>
      </c>
      <c r="D71" s="1" t="s">
        <v>91</v>
      </c>
      <c r="E71" s="1" t="str">
        <f>K42</f>
        <v>AZ-UW1-(firstname,lastname)-LA</v>
      </c>
      <c r="F71" s="1" t="s">
        <v>142</v>
      </c>
      <c r="G71" s="1" t="s">
        <v>146</v>
      </c>
      <c r="H71" s="1"/>
      <c r="I71" s="1"/>
      <c r="J71" s="1" t="str">
        <f>K22</f>
        <v>AZ-UW1-SHRDSVC-MONITORING-RG</v>
      </c>
      <c r="K71" s="1"/>
      <c r="L71" s="1"/>
      <c r="M71" s="1"/>
      <c r="N71" s="44"/>
      <c r="O71" s="44"/>
      <c r="P71" s="44"/>
      <c r="Q71" s="44"/>
      <c r="R71" s="44"/>
      <c r="S71" s="44"/>
      <c r="T71" s="44"/>
      <c r="U71" s="44"/>
      <c r="V71" s="44"/>
      <c r="W71" s="44"/>
      <c r="X71" s="44"/>
      <c r="Y71" s="44"/>
      <c r="Z71" s="44"/>
    </row>
    <row r="72" spans="2:26">
      <c r="B72" s="2" t="str">
        <f>C5</f>
        <v>IT Infrastructure</v>
      </c>
      <c r="C72" s="2" t="str">
        <f>C6</f>
        <v>West US</v>
      </c>
      <c r="D72" s="1" t="s">
        <v>91</v>
      </c>
      <c r="E72" s="1" t="str">
        <f>K42</f>
        <v>AZ-UW1-(firstname,lastname)-LA</v>
      </c>
      <c r="F72" s="1" t="s">
        <v>142</v>
      </c>
      <c r="G72" s="1" t="s">
        <v>147</v>
      </c>
      <c r="H72" s="1"/>
      <c r="I72" s="1"/>
      <c r="J72" s="1" t="str">
        <f>K22</f>
        <v>AZ-UW1-SHRDSVC-MONITORING-RG</v>
      </c>
      <c r="K72" s="1"/>
      <c r="L72" s="1"/>
      <c r="M72" s="1"/>
      <c r="N72" s="44"/>
      <c r="O72" s="44"/>
      <c r="P72" s="44"/>
      <c r="Q72" s="44"/>
      <c r="R72" s="44"/>
      <c r="S72" s="44"/>
      <c r="T72" s="44"/>
      <c r="U72" s="44"/>
      <c r="V72" s="44"/>
      <c r="W72" s="44"/>
      <c r="X72" s="44"/>
      <c r="Y72" s="44"/>
      <c r="Z72" s="44"/>
    </row>
    <row r="73" spans="2:26">
      <c r="B73" s="2" t="str">
        <f>C5</f>
        <v>IT Infrastructure</v>
      </c>
      <c r="C73" s="2" t="str">
        <f>C6</f>
        <v>West US</v>
      </c>
      <c r="D73" s="1" t="s">
        <v>91</v>
      </c>
      <c r="E73" s="1" t="str">
        <f>K42</f>
        <v>AZ-UW1-(firstname,lastname)-LA</v>
      </c>
      <c r="F73" s="1" t="s">
        <v>142</v>
      </c>
      <c r="G73" s="1" t="s">
        <v>148</v>
      </c>
      <c r="H73" s="1"/>
      <c r="I73" s="1"/>
      <c r="J73" s="1" t="str">
        <f>K22</f>
        <v>AZ-UW1-SHRDSVC-MONITORING-RG</v>
      </c>
      <c r="K73" s="1"/>
      <c r="L73" s="1"/>
      <c r="M73" s="1"/>
      <c r="N73" s="44"/>
      <c r="O73" s="44"/>
      <c r="P73" s="44"/>
      <c r="Q73" s="44"/>
      <c r="R73" s="44"/>
      <c r="S73" s="44"/>
      <c r="T73" s="44"/>
      <c r="U73" s="44"/>
      <c r="V73" s="44"/>
      <c r="W73" s="44"/>
      <c r="X73" s="44"/>
      <c r="Y73" s="44"/>
      <c r="Z73" s="44"/>
    </row>
    <row r="74" spans="2:26">
      <c r="B74" s="2" t="str">
        <f>C5</f>
        <v>IT Infrastructure</v>
      </c>
      <c r="C74" s="2" t="str">
        <f>C6</f>
        <v>West US</v>
      </c>
      <c r="D74" s="1" t="s">
        <v>91</v>
      </c>
      <c r="E74" s="1" t="str">
        <f>K42</f>
        <v>AZ-UW1-(firstname,lastname)-LA</v>
      </c>
      <c r="F74" s="1" t="s">
        <v>142</v>
      </c>
      <c r="G74" s="1" t="s">
        <v>149</v>
      </c>
      <c r="H74" s="1"/>
      <c r="I74" s="1"/>
      <c r="J74" s="1" t="str">
        <f>K22</f>
        <v>AZ-UW1-SHRDSVC-MONITORING-RG</v>
      </c>
      <c r="K74" s="1"/>
      <c r="L74" s="1"/>
      <c r="M74" s="1"/>
      <c r="N74" s="44"/>
      <c r="O74" s="44"/>
      <c r="P74" s="44"/>
      <c r="Q74" s="44"/>
      <c r="R74" s="44"/>
      <c r="S74" s="44"/>
      <c r="T74" s="44"/>
      <c r="U74" s="44"/>
      <c r="V74" s="44"/>
      <c r="W74" s="44"/>
      <c r="X74" s="44"/>
      <c r="Y74" s="44"/>
      <c r="Z74" s="44"/>
    </row>
    <row r="75" spans="2:26">
      <c r="B75" s="2" t="str">
        <f>C5</f>
        <v>IT Infrastructure</v>
      </c>
      <c r="C75" s="2" t="str">
        <f>C6</f>
        <v>West US</v>
      </c>
      <c r="D75" s="1" t="s">
        <v>91</v>
      </c>
      <c r="E75" s="1" t="str">
        <f>K42</f>
        <v>AZ-UW1-(firstname,lastname)-LA</v>
      </c>
      <c r="F75" s="1" t="s">
        <v>142</v>
      </c>
      <c r="G75" s="1" t="s">
        <v>150</v>
      </c>
      <c r="H75" s="1"/>
      <c r="I75" s="1"/>
      <c r="J75" s="1" t="str">
        <f>K22</f>
        <v>AZ-UW1-SHRDSVC-MONITORING-RG</v>
      </c>
      <c r="K75" s="1"/>
      <c r="L75" s="1"/>
      <c r="M75" s="1"/>
      <c r="N75" s="44"/>
      <c r="O75" s="44"/>
      <c r="P75" s="44"/>
      <c r="Q75" s="44"/>
      <c r="R75" s="44"/>
      <c r="S75" s="44"/>
      <c r="T75" s="44"/>
      <c r="U75" s="44"/>
      <c r="V75" s="44"/>
      <c r="W75" s="44"/>
      <c r="X75" s="44"/>
      <c r="Y75" s="44"/>
      <c r="Z75" s="44"/>
    </row>
    <row r="76" spans="2:26">
      <c r="B76" s="2" t="str">
        <f>C5</f>
        <v>IT Infrastructure</v>
      </c>
      <c r="C76" s="2" t="str">
        <f>C6</f>
        <v>West US</v>
      </c>
      <c r="D76" s="1" t="s">
        <v>91</v>
      </c>
      <c r="E76" s="1" t="str">
        <f>K42</f>
        <v>AZ-UW1-(firstname,lastname)-LA</v>
      </c>
      <c r="F76" s="1" t="s">
        <v>142</v>
      </c>
      <c r="G76" s="1" t="s">
        <v>151</v>
      </c>
      <c r="H76" s="1"/>
      <c r="I76" s="1"/>
      <c r="J76" s="1" t="str">
        <f>K22</f>
        <v>AZ-UW1-SHRDSVC-MONITORING-RG</v>
      </c>
      <c r="K76" s="1"/>
      <c r="L76" s="1"/>
      <c r="M76" s="1"/>
      <c r="N76" s="44"/>
      <c r="O76" s="44"/>
      <c r="P76" s="44"/>
      <c r="Q76" s="44"/>
      <c r="R76" s="44"/>
      <c r="S76" s="44"/>
      <c r="T76" s="44"/>
      <c r="U76" s="44"/>
      <c r="V76" s="44"/>
      <c r="W76" s="44"/>
      <c r="X76" s="44"/>
      <c r="Y76" s="44"/>
      <c r="Z76" s="44"/>
    </row>
    <row r="77" spans="2:26">
      <c r="B77" s="2" t="str">
        <f>C5</f>
        <v>IT Infrastructure</v>
      </c>
      <c r="C77" s="2" t="str">
        <f>C6</f>
        <v>West US</v>
      </c>
      <c r="D77" s="1" t="s">
        <v>91</v>
      </c>
      <c r="E77" s="1" t="str">
        <f>K42</f>
        <v>AZ-UW1-(firstname,lastname)-LA</v>
      </c>
      <c r="F77" s="1" t="s">
        <v>142</v>
      </c>
      <c r="G77" s="1" t="s">
        <v>152</v>
      </c>
      <c r="H77" s="1"/>
      <c r="I77" s="1"/>
      <c r="J77" s="1" t="str">
        <f>K22</f>
        <v>AZ-UW1-SHRDSVC-MONITORING-RG</v>
      </c>
      <c r="K77" s="1"/>
      <c r="L77" s="1"/>
      <c r="M77" s="1"/>
      <c r="N77" s="44"/>
      <c r="O77" s="44"/>
      <c r="P77" s="44"/>
      <c r="Q77" s="44"/>
      <c r="R77" s="44"/>
      <c r="S77" s="44"/>
      <c r="T77" s="44"/>
      <c r="U77" s="44"/>
      <c r="V77" s="44"/>
      <c r="W77" s="44"/>
      <c r="X77" s="44"/>
      <c r="Y77" s="44"/>
      <c r="Z77" s="44"/>
    </row>
    <row r="78" spans="2:26">
      <c r="B78" s="2" t="str">
        <f>C5</f>
        <v>IT Infrastructure</v>
      </c>
      <c r="C78" s="2" t="str">
        <f>C6</f>
        <v>West US</v>
      </c>
      <c r="D78" s="1" t="s">
        <v>153</v>
      </c>
      <c r="E78" s="1" t="str">
        <f>K45</f>
        <v>AZ-UW1-SHRDSVC-AA</v>
      </c>
      <c r="F78" s="1"/>
      <c r="G78" s="1"/>
      <c r="H78" s="1"/>
      <c r="I78" s="1"/>
      <c r="J78" s="1" t="str">
        <f>K22</f>
        <v>AZ-UW1-SHRDSVC-MONITORING-RG</v>
      </c>
      <c r="K78" s="1"/>
      <c r="L78" s="1"/>
      <c r="M78" s="1"/>
      <c r="N78" s="44"/>
      <c r="O78" s="44"/>
      <c r="P78" s="44"/>
      <c r="Q78" s="44"/>
      <c r="R78" s="44" t="s">
        <v>128</v>
      </c>
      <c r="S78" s="44"/>
      <c r="T78" s="44"/>
      <c r="U78" s="44"/>
      <c r="V78" s="44"/>
      <c r="W78" s="44"/>
      <c r="X78" s="44"/>
      <c r="Y78" s="44"/>
      <c r="Z78" s="44"/>
    </row>
    <row r="79" spans="2:26">
      <c r="B79" s="2" t="str">
        <f>C5</f>
        <v>IT Infrastructure</v>
      </c>
      <c r="C79" s="2" t="str">
        <f>C6</f>
        <v>West US</v>
      </c>
      <c r="D79" s="1" t="s">
        <v>79</v>
      </c>
      <c r="E79" s="1" t="s">
        <v>154</v>
      </c>
      <c r="F79" s="1"/>
      <c r="G79" s="1"/>
      <c r="H79" s="1"/>
      <c r="I79" s="1"/>
      <c r="J79" s="1" t="str">
        <f>K23</f>
        <v>AZ-UW1-SHRDSVC-ADDS-RG</v>
      </c>
      <c r="K79" s="1"/>
      <c r="L79" s="1"/>
      <c r="M79" s="42" t="str">
        <f>M36</f>
        <v>Windows Server 2016</v>
      </c>
      <c r="N79" s="44"/>
      <c r="O79" s="44"/>
      <c r="P79" s="44"/>
      <c r="Q79" s="44"/>
      <c r="R79" s="44"/>
      <c r="S79" s="44"/>
      <c r="T79" s="44"/>
      <c r="U79" s="44"/>
      <c r="V79" s="44"/>
      <c r="W79" s="44"/>
      <c r="X79" s="44"/>
      <c r="Y79" s="44"/>
      <c r="Z79" s="44"/>
    </row>
    <row r="80" spans="2:26">
      <c r="B80" s="2" t="str">
        <f>C5</f>
        <v>IT Infrastructure</v>
      </c>
      <c r="C80" s="2" t="str">
        <f>C6</f>
        <v>West US</v>
      </c>
      <c r="D80" s="1" t="s">
        <v>79</v>
      </c>
      <c r="E80" s="1" t="s">
        <v>155</v>
      </c>
      <c r="F80" s="1"/>
      <c r="G80" s="1"/>
      <c r="H80" s="1"/>
      <c r="I80" s="1"/>
      <c r="J80" s="1" t="str">
        <f>K23</f>
        <v>AZ-UW1-SHRDSVC-ADDS-RG</v>
      </c>
      <c r="K80" s="1"/>
      <c r="L80" s="1"/>
      <c r="M80" s="42" t="str">
        <f>M37</f>
        <v>Windows Server 2016</v>
      </c>
      <c r="N80" s="44"/>
      <c r="O80" s="44"/>
      <c r="P80" s="44"/>
      <c r="Q80" s="44"/>
      <c r="R80" s="44"/>
      <c r="S80" s="44"/>
      <c r="T80" s="44"/>
      <c r="U80" s="44"/>
      <c r="V80" s="44"/>
      <c r="W80" s="44"/>
      <c r="X80" s="44"/>
      <c r="Y80" s="44"/>
      <c r="Z80" s="44"/>
    </row>
    <row r="81" spans="2:26">
      <c r="B81" s="2" t="str">
        <f>C5</f>
        <v>IT Infrastructure</v>
      </c>
      <c r="C81" s="2" t="str">
        <f>C6</f>
        <v>West US</v>
      </c>
      <c r="D81" s="1" t="s">
        <v>85</v>
      </c>
      <c r="E81" s="1" t="str">
        <f>K38</f>
        <v>AZ-UW1-SHRDSVC-ADDS-AS</v>
      </c>
      <c r="F81" s="1"/>
      <c r="G81" s="1"/>
      <c r="H81" s="1"/>
      <c r="I81" s="1"/>
      <c r="J81" s="1" t="str">
        <f>K23</f>
        <v>AZ-UW1-SHRDSVC-ADDS-RG</v>
      </c>
      <c r="K81" s="1"/>
      <c r="L81" s="1"/>
      <c r="M81" s="1"/>
      <c r="N81" s="44">
        <v>2</v>
      </c>
      <c r="O81" s="44">
        <v>6</v>
      </c>
      <c r="P81" s="44"/>
      <c r="Q81" s="44"/>
      <c r="R81" s="44"/>
      <c r="S81" s="44"/>
      <c r="T81" s="44"/>
      <c r="U81" s="44"/>
      <c r="V81" s="44"/>
      <c r="W81" s="44"/>
      <c r="X81" s="44"/>
      <c r="Y81" s="44"/>
      <c r="Z81" s="44"/>
    </row>
    <row r="82" spans="2:26">
      <c r="B82" s="2" t="str">
        <f>C5</f>
        <v>IT Infrastructure</v>
      </c>
      <c r="C82" s="2" t="str">
        <f>C6</f>
        <v>West US</v>
      </c>
      <c r="D82" s="1" t="s">
        <v>88</v>
      </c>
      <c r="E82" s="1" t="str">
        <f>K39</f>
        <v>AZ-UW1-SHRDSVC-ADDS-AG</v>
      </c>
      <c r="F82" s="1"/>
      <c r="G82" s="1"/>
      <c r="H82" s="1"/>
      <c r="I82" s="1"/>
      <c r="J82" s="1" t="str">
        <f>K23</f>
        <v>AZ-UW1-SHRDSVC-ADDS-RG</v>
      </c>
      <c r="K82" s="1"/>
      <c r="L82" s="1"/>
      <c r="M82" s="1"/>
      <c r="N82" s="44">
        <v>2</v>
      </c>
      <c r="O82" s="44">
        <v>6</v>
      </c>
      <c r="P82" s="44"/>
      <c r="Q82" s="44"/>
      <c r="R82" s="44"/>
      <c r="S82" s="44"/>
      <c r="T82" s="44"/>
      <c r="U82" s="44"/>
      <c r="V82" s="44"/>
      <c r="W82" s="44"/>
      <c r="X82" s="44"/>
      <c r="Y82" s="44"/>
      <c r="Z82" s="44"/>
    </row>
    <row r="83" spans="2:26" ht="17.100000000000001" thickBot="1">
      <c r="B83" s="2" t="str">
        <f>C6</f>
        <v>West US</v>
      </c>
      <c r="C83" s="2" t="str">
        <f>C7</f>
        <v>AZ</v>
      </c>
      <c r="D83" s="75" t="s">
        <v>156</v>
      </c>
      <c r="E83" t="s">
        <v>157</v>
      </c>
      <c r="F83" t="s">
        <v>158</v>
      </c>
      <c r="J83" s="1" t="str">
        <f>K19</f>
        <v>AZ-UW1-SHRDSVC-NETWORK-RG</v>
      </c>
    </row>
    <row r="84" spans="2:26" ht="17.100000000000001" thickBot="1">
      <c r="B84" s="90" t="s">
        <v>159</v>
      </c>
      <c r="C84" s="91"/>
      <c r="D84" s="91"/>
      <c r="E84" s="91"/>
      <c r="F84" s="91"/>
      <c r="G84" s="91"/>
      <c r="H84" s="91"/>
      <c r="I84" s="91"/>
      <c r="J84" s="91"/>
      <c r="K84" s="91"/>
      <c r="L84" s="91"/>
      <c r="M84" s="91"/>
      <c r="N84" s="91"/>
      <c r="O84" s="91"/>
      <c r="P84" s="91"/>
      <c r="Q84" s="91"/>
      <c r="R84" s="91"/>
      <c r="S84" s="91"/>
      <c r="T84" s="91"/>
      <c r="U84" s="91"/>
      <c r="V84" s="91"/>
      <c r="W84" s="91"/>
      <c r="X84" s="91"/>
      <c r="Y84" s="91"/>
      <c r="Z84" s="91"/>
    </row>
    <row r="85" spans="2:26" s="20" customFormat="1">
      <c r="B85" s="15" t="s">
        <v>104</v>
      </c>
      <c r="C85" s="15" t="s">
        <v>105</v>
      </c>
      <c r="D85" s="15" t="s">
        <v>39</v>
      </c>
      <c r="E85" s="15" t="s">
        <v>106</v>
      </c>
      <c r="F85" s="15" t="s">
        <v>107</v>
      </c>
      <c r="G85" s="15" t="s">
        <v>108</v>
      </c>
      <c r="H85" s="15" t="s">
        <v>109</v>
      </c>
      <c r="I85" s="15" t="s">
        <v>110</v>
      </c>
      <c r="J85" s="15" t="s">
        <v>44</v>
      </c>
      <c r="K85" s="15" t="s">
        <v>160</v>
      </c>
      <c r="L85" s="15" t="s">
        <v>112</v>
      </c>
      <c r="M85" s="15" t="s">
        <v>113</v>
      </c>
      <c r="N85" s="15" t="s">
        <v>114</v>
      </c>
      <c r="O85" s="15" t="s">
        <v>115</v>
      </c>
      <c r="P85" s="15"/>
      <c r="Q85" s="15"/>
      <c r="R85" s="15" t="s">
        <v>118</v>
      </c>
      <c r="S85" s="15" t="s">
        <v>119</v>
      </c>
      <c r="T85" s="15" t="s">
        <v>120</v>
      </c>
      <c r="U85" s="15" t="s">
        <v>121</v>
      </c>
      <c r="V85" s="15" t="s">
        <v>122</v>
      </c>
      <c r="W85" s="15" t="s">
        <v>123</v>
      </c>
      <c r="X85" s="15" t="s">
        <v>124</v>
      </c>
      <c r="Y85" s="15" t="s">
        <v>125</v>
      </c>
      <c r="Z85" s="15" t="s">
        <v>126</v>
      </c>
    </row>
  </sheetData>
  <autoFilter ref="B53:Z81" xr:uid="{996B52A8-58B0-C848-A486-0AAEF54703CD}"/>
  <mergeCells count="22">
    <mergeCell ref="B52:Z52"/>
    <mergeCell ref="B84:Z84"/>
    <mergeCell ref="C5:D5"/>
    <mergeCell ref="C6:D6"/>
    <mergeCell ref="C11:D11"/>
    <mergeCell ref="C12:D12"/>
    <mergeCell ref="C13:D13"/>
    <mergeCell ref="C7:D7"/>
    <mergeCell ref="C8:D8"/>
    <mergeCell ref="B40:M40"/>
    <mergeCell ref="B34:M34"/>
    <mergeCell ref="B49:E49"/>
    <mergeCell ref="B48:F48"/>
    <mergeCell ref="B2:K2"/>
    <mergeCell ref="B4:K4"/>
    <mergeCell ref="B31:M31"/>
    <mergeCell ref="B24:M24"/>
    <mergeCell ref="B17:M17"/>
    <mergeCell ref="B10:K10"/>
    <mergeCell ref="K16:L16"/>
    <mergeCell ref="D16:J16"/>
    <mergeCell ref="B15:D15"/>
  </mergeCells>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F9279-0A88-4F4F-917B-8474F50875F3}">
  <dimension ref="B1:X71"/>
  <sheetViews>
    <sheetView tabSelected="1" zoomScale="85" zoomScaleNormal="85" workbookViewId="0">
      <selection activeCell="H60" sqref="H60"/>
    </sheetView>
  </sheetViews>
  <sheetFormatPr defaultColWidth="11.5" defaultRowHeight="15.95" outlineLevelRow="1"/>
  <cols>
    <col min="1" max="1" width="3.5" customWidth="1"/>
    <col min="2" max="2" width="21.125" customWidth="1"/>
    <col min="3" max="3" width="17" customWidth="1"/>
    <col min="4" max="4" width="21.125" bestFit="1" customWidth="1"/>
    <col min="5" max="5" width="39.375" bestFit="1" customWidth="1"/>
    <col min="6" max="6" width="21.625" customWidth="1"/>
    <col min="7" max="7" width="42.625" bestFit="1" customWidth="1"/>
    <col min="8" max="8" width="24.375" customWidth="1"/>
    <col min="9" max="9" width="16.125" customWidth="1"/>
    <col min="10" max="10" width="34.875" bestFit="1" customWidth="1"/>
    <col min="11" max="11" width="43.5" bestFit="1" customWidth="1"/>
    <col min="12" max="12" width="43.625" customWidth="1"/>
    <col min="13" max="13" width="23.375" customWidth="1"/>
    <col min="14" max="14" width="15.875" bestFit="1" customWidth="1"/>
    <col min="15" max="15" width="18.125" bestFit="1" customWidth="1"/>
    <col min="16" max="16" width="30" bestFit="1" customWidth="1"/>
    <col min="17" max="17" width="25" bestFit="1" customWidth="1"/>
    <col min="18" max="18" width="21.125" bestFit="1" customWidth="1"/>
    <col min="19" max="19" width="31" bestFit="1" customWidth="1"/>
    <col min="20" max="20" width="53.125" bestFit="1" customWidth="1"/>
    <col min="21" max="21" width="22.5" bestFit="1" customWidth="1"/>
    <col min="22" max="22" width="20.625" bestFit="1" customWidth="1"/>
    <col min="23" max="23" width="20.125" bestFit="1" customWidth="1"/>
    <col min="24" max="24" width="21.125" bestFit="1" customWidth="1"/>
  </cols>
  <sheetData>
    <row r="1" spans="2:13" ht="17.100000000000001" thickBot="1"/>
    <row r="2" spans="2:13" ht="18.95">
      <c r="B2" s="83" t="s">
        <v>20</v>
      </c>
      <c r="C2" s="84"/>
      <c r="D2" s="84"/>
      <c r="E2" s="84"/>
      <c r="F2" s="84"/>
      <c r="G2" s="84"/>
      <c r="H2" s="84"/>
      <c r="I2" s="84"/>
      <c r="J2" s="84"/>
      <c r="K2" s="84"/>
      <c r="L2" s="21"/>
      <c r="M2" s="22"/>
    </row>
    <row r="3" spans="2:13" ht="18.95">
      <c r="B3" s="40"/>
      <c r="C3" s="41"/>
      <c r="D3" s="41"/>
      <c r="E3" s="41"/>
      <c r="F3" s="41"/>
      <c r="G3" s="41"/>
      <c r="H3" s="41"/>
      <c r="I3" s="41"/>
      <c r="J3" s="41"/>
      <c r="K3" s="41"/>
      <c r="L3" s="16"/>
      <c r="M3" s="23"/>
    </row>
    <row r="4" spans="2:13" ht="21.75" customHeight="1">
      <c r="B4" s="85" t="s">
        <v>21</v>
      </c>
      <c r="C4" s="86"/>
      <c r="D4" s="86"/>
      <c r="E4" s="86"/>
      <c r="F4" s="86"/>
      <c r="G4" s="86"/>
      <c r="H4" s="86"/>
      <c r="I4" s="86"/>
      <c r="J4" s="86"/>
      <c r="K4" s="86"/>
      <c r="L4" s="16"/>
      <c r="M4" s="23"/>
    </row>
    <row r="5" spans="2:13">
      <c r="B5" s="14" t="s">
        <v>22</v>
      </c>
      <c r="C5" s="102" t="s">
        <v>161</v>
      </c>
      <c r="D5" s="102"/>
      <c r="E5" s="77"/>
      <c r="F5" s="77"/>
      <c r="G5" s="77"/>
      <c r="H5" s="77"/>
      <c r="I5" s="77"/>
      <c r="J5" s="77"/>
      <c r="K5" s="77"/>
      <c r="L5" s="16"/>
      <c r="M5" s="23"/>
    </row>
    <row r="6" spans="2:13">
      <c r="B6" s="14" t="s">
        <v>23</v>
      </c>
      <c r="C6" s="102" t="s">
        <v>24</v>
      </c>
      <c r="D6" s="102"/>
      <c r="E6" s="77"/>
      <c r="F6" s="77"/>
      <c r="G6" s="77"/>
      <c r="H6" s="77"/>
      <c r="I6" s="77"/>
      <c r="J6" s="77"/>
      <c r="K6" s="77"/>
      <c r="L6" s="16"/>
      <c r="M6" s="23"/>
    </row>
    <row r="7" spans="2:13">
      <c r="B7" s="14" t="s">
        <v>25</v>
      </c>
      <c r="C7" s="102" t="s">
        <v>162</v>
      </c>
      <c r="D7" s="102"/>
      <c r="E7" s="77"/>
      <c r="F7" s="77"/>
      <c r="G7" s="77"/>
      <c r="H7" s="77"/>
      <c r="I7" s="77"/>
      <c r="J7" s="77"/>
      <c r="K7" s="77"/>
      <c r="L7" s="16"/>
      <c r="M7" s="23"/>
    </row>
    <row r="8" spans="2:13">
      <c r="B8" s="14" t="s">
        <v>27</v>
      </c>
      <c r="C8" s="102" t="s">
        <v>163</v>
      </c>
      <c r="D8" s="102"/>
      <c r="E8" s="77"/>
      <c r="F8" s="77"/>
      <c r="G8" s="77"/>
      <c r="H8" s="77"/>
      <c r="I8" s="77"/>
      <c r="J8" s="77"/>
      <c r="K8" s="77"/>
      <c r="L8" s="16"/>
      <c r="M8" s="23"/>
    </row>
    <row r="9" spans="2:13">
      <c r="B9" s="14"/>
      <c r="C9" s="77"/>
      <c r="D9" s="77"/>
      <c r="E9" s="77"/>
      <c r="F9" s="77"/>
      <c r="G9" s="77"/>
      <c r="H9" s="77"/>
      <c r="I9" s="77"/>
      <c r="J9" s="77"/>
      <c r="K9" s="77"/>
      <c r="L9" s="16"/>
      <c r="M9" s="23"/>
    </row>
    <row r="10" spans="2:13" ht="21.75" customHeight="1">
      <c r="B10" s="85" t="s">
        <v>28</v>
      </c>
      <c r="C10" s="86"/>
      <c r="D10" s="86"/>
      <c r="E10" s="86"/>
      <c r="F10" s="86"/>
      <c r="G10" s="86"/>
      <c r="H10" s="86"/>
      <c r="I10" s="86"/>
      <c r="J10" s="86"/>
      <c r="K10" s="86"/>
      <c r="L10" s="16"/>
      <c r="M10" s="23"/>
    </row>
    <row r="11" spans="2:13">
      <c r="B11" s="13" t="s">
        <v>29</v>
      </c>
      <c r="C11" s="103" t="s">
        <v>26</v>
      </c>
      <c r="D11" s="103"/>
      <c r="E11" s="12"/>
      <c r="F11" s="12"/>
      <c r="G11" s="12"/>
      <c r="H11" s="12"/>
      <c r="I11" s="12"/>
      <c r="J11" s="12"/>
      <c r="K11" s="12"/>
      <c r="L11" s="16"/>
      <c r="M11" s="23"/>
    </row>
    <row r="12" spans="2:13">
      <c r="B12" s="13" t="s">
        <v>30</v>
      </c>
      <c r="C12" s="103" t="s">
        <v>31</v>
      </c>
      <c r="D12" s="103"/>
      <c r="E12" s="12"/>
      <c r="F12" s="12"/>
      <c r="G12" s="12"/>
      <c r="H12" s="12"/>
      <c r="I12" s="12"/>
      <c r="J12" s="12"/>
      <c r="K12" s="12"/>
      <c r="L12" s="16"/>
      <c r="M12" s="23"/>
    </row>
    <row r="13" spans="2:13">
      <c r="B13" s="13" t="s">
        <v>32</v>
      </c>
      <c r="C13" s="103" t="s">
        <v>164</v>
      </c>
      <c r="D13" s="103"/>
      <c r="E13" s="12"/>
      <c r="F13" s="12"/>
      <c r="G13" s="12"/>
      <c r="H13" s="12"/>
      <c r="I13" s="12"/>
      <c r="J13" s="12"/>
      <c r="K13" s="12"/>
      <c r="L13" s="16"/>
      <c r="M13" s="23"/>
    </row>
    <row r="14" spans="2:13" ht="18.95">
      <c r="B14" s="13"/>
      <c r="C14" s="45"/>
      <c r="D14" s="45"/>
      <c r="E14" s="12"/>
      <c r="F14" s="12"/>
      <c r="G14" s="12"/>
      <c r="H14" s="12"/>
      <c r="I14" s="12"/>
      <c r="J14" s="12"/>
      <c r="K14" s="25"/>
      <c r="L14" s="25"/>
      <c r="M14" s="28"/>
    </row>
    <row r="15" spans="2:13" ht="18.95">
      <c r="B15" s="98" t="s">
        <v>34</v>
      </c>
      <c r="C15" s="99"/>
      <c r="D15" s="99"/>
      <c r="E15" s="12"/>
      <c r="F15" s="12"/>
      <c r="G15" s="12"/>
      <c r="H15" s="12"/>
      <c r="I15" s="12"/>
      <c r="J15" s="12"/>
      <c r="K15" s="25"/>
      <c r="L15" s="25"/>
      <c r="M15" s="28"/>
    </row>
    <row r="16" spans="2:13" ht="20.100000000000001" hidden="1" outlineLevel="1" thickBot="1">
      <c r="B16" s="13"/>
      <c r="C16" s="12"/>
      <c r="D16" s="95" t="s">
        <v>35</v>
      </c>
      <c r="E16" s="96"/>
      <c r="F16" s="96"/>
      <c r="G16" s="96"/>
      <c r="H16" s="96"/>
      <c r="I16" s="96"/>
      <c r="J16" s="97"/>
      <c r="K16" s="93" t="s">
        <v>36</v>
      </c>
      <c r="L16" s="94"/>
      <c r="M16" s="70" t="s">
        <v>37</v>
      </c>
    </row>
    <row r="17" spans="2:13" ht="17.100000000000001" hidden="1" outlineLevel="1" thickBot="1">
      <c r="B17" s="90" t="s">
        <v>38</v>
      </c>
      <c r="C17" s="91"/>
      <c r="D17" s="91"/>
      <c r="E17" s="91"/>
      <c r="F17" s="91"/>
      <c r="G17" s="91"/>
      <c r="H17" s="91"/>
      <c r="I17" s="91"/>
      <c r="J17" s="91"/>
      <c r="K17" s="91"/>
      <c r="L17" s="91"/>
      <c r="M17" s="92"/>
    </row>
    <row r="18" spans="2:13" hidden="1" outlineLevel="1">
      <c r="B18" s="53" t="s">
        <v>39</v>
      </c>
      <c r="C18" s="9" t="s">
        <v>40</v>
      </c>
      <c r="D18" s="9" t="s">
        <v>29</v>
      </c>
      <c r="E18" s="9" t="s">
        <v>30</v>
      </c>
      <c r="F18" s="9" t="s">
        <v>32</v>
      </c>
      <c r="G18" s="10"/>
      <c r="H18" s="9" t="s">
        <v>41</v>
      </c>
      <c r="I18" s="9" t="s">
        <v>42</v>
      </c>
      <c r="J18" s="10"/>
      <c r="K18" s="49" t="s">
        <v>43</v>
      </c>
      <c r="L18" s="47"/>
      <c r="M18" s="54"/>
    </row>
    <row r="19" spans="2:13" hidden="1" outlineLevel="1">
      <c r="B19" s="55" t="s">
        <v>44</v>
      </c>
      <c r="C19" s="1" t="s">
        <v>45</v>
      </c>
      <c r="D19" s="2" t="str">
        <f>C11</f>
        <v>AZ</v>
      </c>
      <c r="E19" s="2" t="str">
        <f>C12</f>
        <v>UW1</v>
      </c>
      <c r="F19" s="2" t="str">
        <f>C13</f>
        <v>ITAPPS</v>
      </c>
      <c r="G19" s="2"/>
      <c r="H19" s="1" t="s">
        <v>46</v>
      </c>
      <c r="I19" s="3" t="s">
        <v>47</v>
      </c>
      <c r="J19" s="4"/>
      <c r="K19" s="50" t="str">
        <f>D19&amp;"-"&amp;E19&amp;"-"&amp;F19&amp;"-"&amp;H19&amp;"-"&amp;I19</f>
        <v>AZ-UW1-ITAPPS-NETWORK-RG</v>
      </c>
      <c r="L19" s="2"/>
      <c r="M19" s="56"/>
    </row>
    <row r="20" spans="2:13" hidden="1" outlineLevel="1">
      <c r="B20" s="55" t="s">
        <v>44</v>
      </c>
      <c r="C20" s="1" t="s">
        <v>48</v>
      </c>
      <c r="D20" s="2" t="str">
        <f>C11</f>
        <v>AZ</v>
      </c>
      <c r="E20" s="2" t="str">
        <f>C12</f>
        <v>UW1</v>
      </c>
      <c r="F20" s="2" t="str">
        <f>C13</f>
        <v>ITAPPS</v>
      </c>
      <c r="G20" s="2"/>
      <c r="H20" s="1" t="s">
        <v>49</v>
      </c>
      <c r="I20" s="3" t="s">
        <v>47</v>
      </c>
      <c r="J20" s="4"/>
      <c r="K20" s="50" t="str">
        <f t="shared" ref="K20:K23" si="0">D20&amp;"-"&amp;E20&amp;"-"&amp;F20&amp;"-"&amp;H20&amp;"-"&amp;I20</f>
        <v>AZ-UW1-ITAPPS-ADMIN-RG</v>
      </c>
      <c r="L20" s="2"/>
      <c r="M20" s="56"/>
    </row>
    <row r="21" spans="2:13" hidden="1" outlineLevel="1">
      <c r="B21" s="55" t="s">
        <v>44</v>
      </c>
      <c r="C21" s="1" t="s">
        <v>50</v>
      </c>
      <c r="D21" s="2" t="str">
        <f>C11</f>
        <v>AZ</v>
      </c>
      <c r="E21" s="2" t="str">
        <f>C12</f>
        <v>UW1</v>
      </c>
      <c r="F21" s="2" t="str">
        <f>C13</f>
        <v>ITAPPS</v>
      </c>
      <c r="G21" s="2"/>
      <c r="H21" s="1" t="s">
        <v>51</v>
      </c>
      <c r="I21" s="3" t="s">
        <v>47</v>
      </c>
      <c r="J21" s="4"/>
      <c r="K21" s="50" t="str">
        <f t="shared" si="0"/>
        <v>AZ-UW1-ITAPPS-BACKUP-RG</v>
      </c>
      <c r="L21" s="2"/>
      <c r="M21" s="56"/>
    </row>
    <row r="22" spans="2:13" hidden="1" outlineLevel="1">
      <c r="B22" s="55" t="s">
        <v>44</v>
      </c>
      <c r="C22" s="1" t="s">
        <v>52</v>
      </c>
      <c r="D22" s="2" t="str">
        <f>C11</f>
        <v>AZ</v>
      </c>
      <c r="E22" s="2" t="str">
        <f>C12</f>
        <v>UW1</v>
      </c>
      <c r="F22" s="2" t="str">
        <f>C13</f>
        <v>ITAPPS</v>
      </c>
      <c r="G22" s="2"/>
      <c r="H22" s="1" t="s">
        <v>53</v>
      </c>
      <c r="I22" s="3" t="s">
        <v>47</v>
      </c>
      <c r="J22" s="4"/>
      <c r="K22" s="50" t="str">
        <f t="shared" si="0"/>
        <v>AZ-UW1-ITAPPS-MONITORING-RG</v>
      </c>
      <c r="L22" s="2"/>
      <c r="M22" s="56"/>
    </row>
    <row r="23" spans="2:13" ht="17.100000000000001" hidden="1" outlineLevel="1" thickBot="1">
      <c r="B23" s="57" t="s">
        <v>44</v>
      </c>
      <c r="C23" s="5" t="s">
        <v>54</v>
      </c>
      <c r="D23" s="6" t="str">
        <f>C11</f>
        <v>AZ</v>
      </c>
      <c r="E23" s="6" t="str">
        <f>C12</f>
        <v>UW1</v>
      </c>
      <c r="F23" s="6" t="str">
        <f>C13</f>
        <v>ITAPPS</v>
      </c>
      <c r="G23" s="6"/>
      <c r="H23" s="5" t="s">
        <v>54</v>
      </c>
      <c r="I23" s="7" t="s">
        <v>47</v>
      </c>
      <c r="J23" s="8"/>
      <c r="K23" s="51" t="str">
        <f t="shared" si="0"/>
        <v>AZ-UW1-ITAPPS-ADDS-RG</v>
      </c>
      <c r="L23" s="6"/>
      <c r="M23" s="58"/>
    </row>
    <row r="24" spans="2:13" ht="17.100000000000001" hidden="1" outlineLevel="1" thickBot="1">
      <c r="B24" s="90" t="s">
        <v>45</v>
      </c>
      <c r="C24" s="91"/>
      <c r="D24" s="91"/>
      <c r="E24" s="91"/>
      <c r="F24" s="91"/>
      <c r="G24" s="91"/>
      <c r="H24" s="91"/>
      <c r="I24" s="91"/>
      <c r="J24" s="91"/>
      <c r="K24" s="91"/>
      <c r="L24" s="91"/>
      <c r="M24" s="92"/>
    </row>
    <row r="25" spans="2:13" hidden="1" outlineLevel="1">
      <c r="B25" s="53" t="s">
        <v>39</v>
      </c>
      <c r="C25" s="9" t="s">
        <v>40</v>
      </c>
      <c r="D25" s="9" t="s">
        <v>29</v>
      </c>
      <c r="E25" s="9" t="s">
        <v>30</v>
      </c>
      <c r="F25" s="9" t="s">
        <v>32</v>
      </c>
      <c r="G25" s="9" t="s">
        <v>55</v>
      </c>
      <c r="H25" s="9" t="s">
        <v>41</v>
      </c>
      <c r="I25" s="9" t="s">
        <v>56</v>
      </c>
      <c r="J25" s="11" t="s">
        <v>57</v>
      </c>
      <c r="K25" s="49" t="s">
        <v>43</v>
      </c>
      <c r="L25" s="49" t="s">
        <v>58</v>
      </c>
      <c r="M25" s="68" t="s">
        <v>59</v>
      </c>
    </row>
    <row r="26" spans="2:13" hidden="1" outlineLevel="1">
      <c r="B26" s="55" t="s">
        <v>60</v>
      </c>
      <c r="C26" s="1" t="s">
        <v>61</v>
      </c>
      <c r="D26" s="2" t="str">
        <f>C11</f>
        <v>AZ</v>
      </c>
      <c r="E26" s="2" t="str">
        <f>C12</f>
        <v>UW1</v>
      </c>
      <c r="F26" s="2" t="str">
        <f>C13</f>
        <v>ITAPPS</v>
      </c>
      <c r="G26" s="2"/>
      <c r="H26" s="1" t="s">
        <v>62</v>
      </c>
      <c r="I26" s="3" t="s">
        <v>165</v>
      </c>
      <c r="J26" s="3" t="s">
        <v>166</v>
      </c>
      <c r="K26" s="50" t="str">
        <f>D26&amp;"-"&amp;E26&amp;"-"&amp;F26&amp;"-"&amp;H26&amp;"-"&amp;I26&amp;J26</f>
        <v>AZ-UW1-ITAPPS-VN-001_10.63.0.0_16</v>
      </c>
      <c r="L26" s="2"/>
      <c r="M26" s="69" t="s">
        <v>64</v>
      </c>
    </row>
    <row r="27" spans="2:13" hidden="1" outlineLevel="1">
      <c r="B27" s="55" t="s">
        <v>65</v>
      </c>
      <c r="C27" s="1" t="s">
        <v>167</v>
      </c>
      <c r="D27" s="2" t="str">
        <f>C11</f>
        <v>AZ</v>
      </c>
      <c r="E27" s="2" t="str">
        <f>C12</f>
        <v>UW1</v>
      </c>
      <c r="F27" s="2" t="str">
        <f>C13</f>
        <v>ITAPPS</v>
      </c>
      <c r="G27" s="1" t="s">
        <v>66</v>
      </c>
      <c r="H27" s="1" t="s">
        <v>67</v>
      </c>
      <c r="I27" s="4"/>
      <c r="J27" s="3" t="s">
        <v>168</v>
      </c>
      <c r="K27" s="50" t="str">
        <f>D27&amp;"-"&amp;E27&amp;"-"&amp;F27&amp;"-"&amp;G27&amp;"-"&amp;H27&amp;J27</f>
        <v>AZ-UW1-ITAPPS-SERVERS-SN_10.63.20.0_24</v>
      </c>
      <c r="L27" s="50" t="str">
        <f>D27&amp;"-"&amp;E27&amp;"-"&amp;F27&amp;"-"&amp;G27&amp;"-"&amp;H27&amp;"-NS"</f>
        <v>AZ-UW1-ITAPPS-SERVERS-SN-NS</v>
      </c>
      <c r="M27" s="56"/>
    </row>
    <row r="28" spans="2:13" hidden="1" outlineLevel="1">
      <c r="B28" s="55" t="s">
        <v>65</v>
      </c>
      <c r="C28" s="1"/>
      <c r="D28" s="2" t="str">
        <f>C11</f>
        <v>AZ</v>
      </c>
      <c r="E28" s="2" t="str">
        <f>C12</f>
        <v>UW1</v>
      </c>
      <c r="F28" s="2" t="str">
        <f>C13</f>
        <v>ITAPPS</v>
      </c>
      <c r="G28" s="1"/>
      <c r="H28" s="1"/>
      <c r="I28" s="4"/>
      <c r="J28" s="3"/>
      <c r="K28" s="50"/>
      <c r="L28" s="50"/>
      <c r="M28" s="56"/>
    </row>
    <row r="29" spans="2:13" hidden="1" outlineLevel="1">
      <c r="B29" s="55" t="s">
        <v>65</v>
      </c>
      <c r="C29" s="1"/>
      <c r="D29" s="2" t="str">
        <f>C11</f>
        <v>AZ</v>
      </c>
      <c r="E29" s="2" t="str">
        <f>C12</f>
        <v>UW1</v>
      </c>
      <c r="F29" s="2" t="str">
        <f>C13</f>
        <v>ITAPPS</v>
      </c>
      <c r="G29" s="1"/>
      <c r="H29" s="1"/>
      <c r="I29" s="4"/>
      <c r="J29" s="3"/>
      <c r="K29" s="50"/>
      <c r="L29" s="50"/>
      <c r="M29" s="56"/>
    </row>
    <row r="30" spans="2:13" hidden="1" outlineLevel="1">
      <c r="B30" s="55" t="s">
        <v>65</v>
      </c>
      <c r="C30" s="1" t="s">
        <v>70</v>
      </c>
      <c r="D30" s="2" t="str">
        <f>C11</f>
        <v>AZ</v>
      </c>
      <c r="E30" s="2" t="str">
        <f>C12</f>
        <v>UW1</v>
      </c>
      <c r="F30" s="2" t="str">
        <f>C13</f>
        <v>ITAPPS</v>
      </c>
      <c r="G30" s="1"/>
      <c r="H30" s="1"/>
      <c r="I30" s="4"/>
      <c r="J30" s="4"/>
      <c r="K30" s="50"/>
      <c r="L30" s="50"/>
      <c r="M30" s="56"/>
    </row>
    <row r="31" spans="2:13" hidden="1" outlineLevel="1">
      <c r="B31" s="57" t="s">
        <v>65</v>
      </c>
      <c r="C31" s="1" t="s">
        <v>70</v>
      </c>
      <c r="D31" s="6" t="str">
        <f>C11</f>
        <v>AZ</v>
      </c>
      <c r="E31" s="6" t="str">
        <f>C12</f>
        <v>UW1</v>
      </c>
      <c r="F31" s="6" t="str">
        <f>C13</f>
        <v>ITAPPS</v>
      </c>
      <c r="G31" s="5"/>
      <c r="H31" s="5"/>
      <c r="I31" s="8"/>
      <c r="J31" s="8"/>
      <c r="K31" s="51"/>
      <c r="L31" s="51"/>
      <c r="M31" s="58"/>
    </row>
    <row r="32" spans="2:13" hidden="1" outlineLevel="1">
      <c r="B32" s="55" t="s">
        <v>169</v>
      </c>
      <c r="C32" s="1" t="s">
        <v>92</v>
      </c>
      <c r="D32" s="2" t="str">
        <f>C11</f>
        <v>AZ</v>
      </c>
      <c r="E32" s="2" t="str">
        <f>C12</f>
        <v>UW1</v>
      </c>
      <c r="F32" s="2" t="str">
        <f>C13</f>
        <v>ITAPPS</v>
      </c>
      <c r="G32" s="2"/>
      <c r="H32" s="1" t="s">
        <v>170</v>
      </c>
      <c r="I32" s="4"/>
      <c r="J32" s="4"/>
      <c r="K32" s="51"/>
      <c r="L32" s="52"/>
      <c r="M32" s="56"/>
    </row>
    <row r="33" spans="2:13" hidden="1" outlineLevel="1">
      <c r="B33" s="55" t="s">
        <v>171</v>
      </c>
      <c r="C33" s="1" t="s">
        <v>172</v>
      </c>
      <c r="D33" s="2" t="str">
        <f>C11</f>
        <v>AZ</v>
      </c>
      <c r="E33" s="2" t="str">
        <f>C12</f>
        <v>UW1</v>
      </c>
      <c r="F33" s="2" t="str">
        <f>C13</f>
        <v>ITAPPS</v>
      </c>
      <c r="G33" s="2"/>
      <c r="H33" s="1" t="s">
        <v>173</v>
      </c>
      <c r="I33" s="4"/>
      <c r="J33" s="4"/>
      <c r="K33" s="51" t="str">
        <f>D33&amp;"-"&amp;E33&amp;"-"&amp;F33&amp;"-"&amp;H33</f>
        <v>AZ-UW1-ITAPPS-FW-RT</v>
      </c>
      <c r="L33" s="52"/>
      <c r="M33" s="56"/>
    </row>
    <row r="34" spans="2:13" ht="17.100000000000001" hidden="1" outlineLevel="1" thickBot="1">
      <c r="B34" s="87" t="s">
        <v>71</v>
      </c>
      <c r="C34" s="88"/>
      <c r="D34" s="88"/>
      <c r="E34" s="88"/>
      <c r="F34" s="88"/>
      <c r="G34" s="88"/>
      <c r="H34" s="88"/>
      <c r="I34" s="88"/>
      <c r="J34" s="88"/>
      <c r="K34" s="88"/>
      <c r="L34" s="88"/>
      <c r="M34" s="89"/>
    </row>
    <row r="35" spans="2:13" hidden="1" outlineLevel="1">
      <c r="B35" s="53" t="s">
        <v>39</v>
      </c>
      <c r="C35" s="9" t="s">
        <v>40</v>
      </c>
      <c r="D35" s="9" t="s">
        <v>29</v>
      </c>
      <c r="E35" s="9" t="s">
        <v>30</v>
      </c>
      <c r="F35" s="9" t="s">
        <v>72</v>
      </c>
      <c r="G35" s="9" t="s">
        <v>42</v>
      </c>
      <c r="H35" s="10"/>
      <c r="I35" s="10"/>
      <c r="J35" s="10"/>
      <c r="K35" s="49" t="s">
        <v>43</v>
      </c>
      <c r="L35" s="47"/>
      <c r="M35" s="54"/>
    </row>
    <row r="36" spans="2:13" ht="17.100000000000001" hidden="1" outlineLevel="1" thickBot="1">
      <c r="B36" s="57" t="s">
        <v>73</v>
      </c>
      <c r="C36" s="5" t="s">
        <v>48</v>
      </c>
      <c r="D36" s="43" t="s">
        <v>74</v>
      </c>
      <c r="E36" s="43" t="s">
        <v>75</v>
      </c>
      <c r="F36" s="43" t="s">
        <v>174</v>
      </c>
      <c r="G36" s="46" t="s">
        <v>77</v>
      </c>
      <c r="H36" s="6"/>
      <c r="I36" s="6"/>
      <c r="J36" s="6"/>
      <c r="K36" s="51" t="str">
        <f>LOWER(D36&amp;E36&amp;F36&amp;G36&amp;H36)</f>
        <v>azuw1stoneitappssa001</v>
      </c>
      <c r="L36" s="6"/>
      <c r="M36" s="58"/>
    </row>
    <row r="37" spans="2:13" ht="17.100000000000001" hidden="1" outlineLevel="1" thickBot="1">
      <c r="B37" s="90" t="s">
        <v>54</v>
      </c>
      <c r="C37" s="91"/>
      <c r="D37" s="91"/>
      <c r="E37" s="91"/>
      <c r="F37" s="91"/>
      <c r="G37" s="91"/>
      <c r="H37" s="91"/>
      <c r="I37" s="91"/>
      <c r="J37" s="91"/>
      <c r="K37" s="91"/>
      <c r="L37" s="101"/>
      <c r="M37" s="92"/>
    </row>
    <row r="38" spans="2:13" hidden="1" outlineLevel="1">
      <c r="B38" s="53" t="s">
        <v>39</v>
      </c>
      <c r="C38" s="9" t="s">
        <v>40</v>
      </c>
      <c r="D38" s="9" t="s">
        <v>29</v>
      </c>
      <c r="E38" s="9" t="s">
        <v>30</v>
      </c>
      <c r="F38" s="9" t="s">
        <v>32</v>
      </c>
      <c r="G38" s="9" t="s">
        <v>41</v>
      </c>
      <c r="H38" s="9" t="s">
        <v>42</v>
      </c>
      <c r="I38" s="10"/>
      <c r="J38" s="10"/>
      <c r="K38" s="49" t="s">
        <v>43</v>
      </c>
      <c r="L38" s="2"/>
      <c r="M38" s="68" t="s">
        <v>78</v>
      </c>
    </row>
    <row r="39" spans="2:13" hidden="1" outlineLevel="1">
      <c r="B39" s="55"/>
      <c r="C39" s="1"/>
      <c r="D39" s="1"/>
      <c r="E39" s="2"/>
      <c r="F39" s="2"/>
      <c r="G39" s="1"/>
      <c r="H39" s="3"/>
      <c r="I39" s="2"/>
      <c r="J39" s="2"/>
      <c r="K39" s="50"/>
      <c r="L39" s="2"/>
      <c r="M39" s="69"/>
    </row>
    <row r="40" spans="2:13" hidden="1" outlineLevel="1">
      <c r="B40" s="55"/>
      <c r="C40" s="1"/>
      <c r="D40" s="1"/>
      <c r="E40" s="2"/>
      <c r="F40" s="2"/>
      <c r="G40" s="1"/>
      <c r="H40" s="3"/>
      <c r="I40" s="2"/>
      <c r="J40" s="2"/>
      <c r="K40" s="50"/>
      <c r="L40" s="2"/>
      <c r="M40" s="69"/>
    </row>
    <row r="41" spans="2:13" hidden="1" outlineLevel="1">
      <c r="B41" s="55"/>
      <c r="C41" s="1"/>
      <c r="D41" s="2"/>
      <c r="E41" s="2"/>
      <c r="F41" s="2"/>
      <c r="G41" s="1"/>
      <c r="H41" s="3"/>
      <c r="I41" s="2"/>
      <c r="J41" s="2"/>
      <c r="K41" s="50"/>
      <c r="L41" s="2"/>
      <c r="M41" s="56"/>
    </row>
    <row r="42" spans="2:13" ht="17.100000000000001" hidden="1" outlineLevel="1" thickBot="1">
      <c r="B42" s="57"/>
      <c r="C42" s="5"/>
      <c r="D42" s="6"/>
      <c r="E42" s="6"/>
      <c r="F42" s="6"/>
      <c r="G42" s="5"/>
      <c r="H42" s="7"/>
      <c r="I42" s="6"/>
      <c r="J42" s="6"/>
      <c r="K42" s="51"/>
      <c r="L42" s="6"/>
      <c r="M42" s="58"/>
    </row>
    <row r="43" spans="2:13" ht="17.100000000000001" hidden="1" outlineLevel="1" thickBot="1">
      <c r="B43" s="90" t="s">
        <v>90</v>
      </c>
      <c r="C43" s="91"/>
      <c r="D43" s="91"/>
      <c r="E43" s="91"/>
      <c r="F43" s="91"/>
      <c r="G43" s="91"/>
      <c r="H43" s="91"/>
      <c r="I43" s="91"/>
      <c r="J43" s="91"/>
      <c r="K43" s="91"/>
      <c r="L43" s="91"/>
      <c r="M43" s="92"/>
    </row>
    <row r="44" spans="2:13" hidden="1" outlineLevel="1">
      <c r="B44" s="53" t="s">
        <v>39</v>
      </c>
      <c r="C44" s="9" t="s">
        <v>40</v>
      </c>
      <c r="D44" s="9" t="s">
        <v>29</v>
      </c>
      <c r="E44" s="9" t="s">
        <v>30</v>
      </c>
      <c r="F44" s="9" t="s">
        <v>32</v>
      </c>
      <c r="G44" s="9" t="s">
        <v>42</v>
      </c>
      <c r="H44" s="10"/>
      <c r="I44" s="10"/>
      <c r="J44" s="10"/>
      <c r="K44" s="49" t="s">
        <v>43</v>
      </c>
      <c r="L44" s="47"/>
      <c r="M44" s="54"/>
    </row>
    <row r="45" spans="2:13" s="33" customFormat="1" hidden="1" outlineLevel="1">
      <c r="B45" s="59"/>
      <c r="C45" s="31"/>
      <c r="D45" s="32"/>
      <c r="E45" s="32"/>
      <c r="F45" s="32"/>
      <c r="G45" s="31"/>
      <c r="H45" s="32"/>
      <c r="I45" s="32"/>
      <c r="J45" s="32"/>
      <c r="K45" s="50"/>
      <c r="L45" s="48"/>
      <c r="M45" s="60"/>
    </row>
    <row r="46" spans="2:13" hidden="1" outlineLevel="1">
      <c r="B46" s="55"/>
      <c r="C46" s="1"/>
      <c r="D46" s="2"/>
      <c r="E46" s="2"/>
      <c r="F46" s="2"/>
      <c r="G46" s="1"/>
      <c r="H46" s="4"/>
      <c r="I46" s="2"/>
      <c r="J46" s="2"/>
      <c r="K46" s="50"/>
      <c r="L46" s="2"/>
      <c r="M46" s="56"/>
    </row>
    <row r="47" spans="2:13" hidden="1" outlineLevel="1">
      <c r="B47" s="55"/>
      <c r="C47" s="1"/>
      <c r="D47" s="2"/>
      <c r="E47" s="2"/>
      <c r="F47" s="2"/>
      <c r="G47" s="1"/>
      <c r="H47" s="4"/>
      <c r="I47" s="2"/>
      <c r="J47" s="2"/>
      <c r="K47" s="50"/>
      <c r="L47" s="2"/>
      <c r="M47" s="56"/>
    </row>
    <row r="48" spans="2:13" ht="17.100000000000001" hidden="1" outlineLevel="1" thickBot="1">
      <c r="B48" s="61"/>
      <c r="C48" s="62"/>
      <c r="D48" s="63"/>
      <c r="E48" s="63"/>
      <c r="F48" s="63"/>
      <c r="G48" s="62"/>
      <c r="H48" s="64"/>
      <c r="I48" s="63"/>
      <c r="J48" s="63"/>
      <c r="K48" s="65"/>
      <c r="L48" s="63"/>
      <c r="M48" s="66"/>
    </row>
    <row r="49" spans="2:24" ht="17.100000000000001" collapsed="1" thickBot="1">
      <c r="B49" s="17"/>
      <c r="C49" s="17"/>
      <c r="D49" s="17"/>
      <c r="E49" s="17"/>
      <c r="F49" s="17"/>
      <c r="G49" s="17"/>
      <c r="H49" s="18"/>
      <c r="I49" s="17"/>
      <c r="J49" s="17"/>
      <c r="K49" s="19"/>
    </row>
    <row r="50" spans="2:24" ht="18.75" customHeight="1">
      <c r="B50" s="26" t="s">
        <v>100</v>
      </c>
      <c r="C50" s="27"/>
      <c r="D50" s="27"/>
      <c r="E50" s="27"/>
      <c r="F50" s="27"/>
      <c r="G50" s="27"/>
      <c r="H50" s="27"/>
      <c r="I50" s="27"/>
      <c r="J50" s="27"/>
      <c r="K50" s="27"/>
      <c r="L50" s="27"/>
      <c r="M50" s="22"/>
    </row>
    <row r="51" spans="2:24" ht="63" customHeight="1">
      <c r="B51" s="106" t="s">
        <v>101</v>
      </c>
      <c r="C51" s="107"/>
      <c r="D51" s="107"/>
      <c r="E51" s="107"/>
      <c r="F51" s="107"/>
      <c r="G51" s="25"/>
      <c r="H51" s="25"/>
      <c r="I51" s="25"/>
      <c r="J51" s="25"/>
      <c r="K51" s="25"/>
      <c r="L51" s="25"/>
      <c r="M51" s="23"/>
    </row>
    <row r="52" spans="2:24" ht="18.95">
      <c r="B52" s="104" t="s">
        <v>102</v>
      </c>
      <c r="C52" s="105"/>
      <c r="D52" s="105"/>
      <c r="E52" s="105"/>
      <c r="F52" s="67"/>
      <c r="G52" s="25"/>
      <c r="H52" s="25"/>
      <c r="I52" s="25"/>
      <c r="J52" s="25"/>
      <c r="K52" s="25"/>
      <c r="L52" s="25"/>
      <c r="M52" s="23"/>
    </row>
    <row r="53" spans="2:24" ht="15.75" customHeight="1" thickBot="1">
      <c r="B53" s="29"/>
      <c r="C53" s="30"/>
      <c r="D53" s="30"/>
      <c r="E53" s="30"/>
      <c r="F53" s="30"/>
      <c r="G53" s="30"/>
      <c r="H53" s="30"/>
      <c r="I53" s="30"/>
      <c r="J53" s="30"/>
      <c r="K53" s="30"/>
      <c r="L53" s="30"/>
      <c r="M53" s="24"/>
    </row>
    <row r="54" spans="2:24" ht="17.100000000000001" thickBot="1">
      <c r="B54" s="20"/>
      <c r="C54" s="20"/>
      <c r="D54" s="20"/>
      <c r="E54" s="20"/>
      <c r="F54" s="20"/>
      <c r="G54" s="20"/>
      <c r="H54" s="20"/>
      <c r="I54" s="20"/>
      <c r="J54" s="20"/>
      <c r="K54" s="20"/>
    </row>
    <row r="55" spans="2:24">
      <c r="B55" s="100" t="s">
        <v>103</v>
      </c>
      <c r="C55" s="101"/>
      <c r="D55" s="101"/>
      <c r="E55" s="101"/>
      <c r="F55" s="101"/>
      <c r="G55" s="101"/>
      <c r="H55" s="101"/>
      <c r="I55" s="101"/>
      <c r="J55" s="101"/>
      <c r="K55" s="101"/>
      <c r="L55" s="101"/>
      <c r="M55" s="101"/>
      <c r="N55" s="101"/>
      <c r="O55" s="101"/>
      <c r="P55" s="101"/>
      <c r="Q55" s="101"/>
      <c r="R55" s="101"/>
      <c r="S55" s="101"/>
      <c r="T55" s="101"/>
      <c r="U55" s="101"/>
      <c r="V55" s="101"/>
      <c r="W55" s="101"/>
      <c r="X55" s="101"/>
    </row>
    <row r="56" spans="2:24" s="35" customFormat="1" ht="33.950000000000003">
      <c r="B56" s="34" t="s">
        <v>104</v>
      </c>
      <c r="C56" s="34" t="s">
        <v>105</v>
      </c>
      <c r="D56" s="34" t="s">
        <v>39</v>
      </c>
      <c r="E56" s="34" t="s">
        <v>106</v>
      </c>
      <c r="F56" s="34" t="s">
        <v>107</v>
      </c>
      <c r="G56" s="34" t="s">
        <v>108</v>
      </c>
      <c r="H56" s="34" t="s">
        <v>109</v>
      </c>
      <c r="I56" s="34" t="s">
        <v>110</v>
      </c>
      <c r="J56" s="34" t="s">
        <v>44</v>
      </c>
      <c r="K56" s="34" t="s">
        <v>160</v>
      </c>
      <c r="L56" s="34" t="s">
        <v>112</v>
      </c>
      <c r="M56" s="34" t="s">
        <v>113</v>
      </c>
      <c r="N56" s="34" t="s">
        <v>114</v>
      </c>
      <c r="O56" s="34" t="s">
        <v>115</v>
      </c>
      <c r="P56" s="34" t="s">
        <v>118</v>
      </c>
      <c r="Q56" s="34" t="s">
        <v>119</v>
      </c>
      <c r="R56" s="34" t="s">
        <v>120</v>
      </c>
      <c r="S56" s="34" t="s">
        <v>121</v>
      </c>
      <c r="T56" s="34" t="s">
        <v>122</v>
      </c>
      <c r="U56" s="34" t="s">
        <v>123</v>
      </c>
      <c r="V56" s="34" t="s">
        <v>124</v>
      </c>
      <c r="W56" s="34" t="s">
        <v>125</v>
      </c>
      <c r="X56" s="34" t="s">
        <v>126</v>
      </c>
    </row>
    <row r="57" spans="2:24" s="35" customFormat="1" ht="15.75">
      <c r="B57" s="2" t="str">
        <f>C5</f>
        <v>IT Applications</v>
      </c>
      <c r="C57" s="2" t="str">
        <f>C6</f>
        <v>West US</v>
      </c>
      <c r="D57" s="1" t="s">
        <v>44</v>
      </c>
      <c r="E57" s="1" t="s">
        <v>175</v>
      </c>
      <c r="F57" s="108"/>
      <c r="G57" s="108"/>
      <c r="H57" s="108"/>
      <c r="I57" s="108"/>
      <c r="J57" s="108"/>
      <c r="K57" s="108"/>
      <c r="L57" s="108"/>
      <c r="M57" s="108"/>
      <c r="N57" s="109"/>
      <c r="O57" s="109"/>
      <c r="P57" s="109"/>
      <c r="Q57" s="109"/>
      <c r="R57" s="109"/>
      <c r="S57" s="109"/>
      <c r="T57" s="109"/>
      <c r="U57" s="109"/>
      <c r="V57" s="109"/>
      <c r="W57" s="109"/>
      <c r="X57" s="109"/>
    </row>
    <row r="58" spans="2:24">
      <c r="B58" s="2" t="str">
        <f>C5</f>
        <v>IT Applications</v>
      </c>
      <c r="C58" s="2" t="str">
        <f>C6</f>
        <v>West US</v>
      </c>
      <c r="D58" s="1" t="s">
        <v>44</v>
      </c>
      <c r="E58" s="1" t="str">
        <f>K19</f>
        <v>AZ-UW1-ITAPPS-NETWORK-RG</v>
      </c>
      <c r="F58" s="1"/>
      <c r="G58" s="1"/>
      <c r="H58" s="1"/>
      <c r="I58" s="1"/>
      <c r="J58" s="1"/>
      <c r="K58" s="1"/>
      <c r="L58" s="1"/>
      <c r="M58" s="1"/>
      <c r="N58" s="44"/>
      <c r="O58" s="44"/>
      <c r="P58" s="44"/>
      <c r="Q58" s="44"/>
      <c r="R58" s="44"/>
      <c r="S58" s="44"/>
      <c r="T58" s="44"/>
      <c r="U58" s="44"/>
      <c r="V58" s="44"/>
      <c r="W58" s="44"/>
      <c r="X58" s="44"/>
    </row>
    <row r="59" spans="2:24">
      <c r="B59" s="2" t="str">
        <f>C5</f>
        <v>IT Applications</v>
      </c>
      <c r="C59" s="2" t="str">
        <f>C6</f>
        <v>West US</v>
      </c>
      <c r="D59" s="1" t="s">
        <v>127</v>
      </c>
      <c r="E59" s="1" t="str">
        <f>K26</f>
        <v>AZ-UW1-ITAPPS-VN-001_10.63.0.0_16</v>
      </c>
      <c r="F59" s="1"/>
      <c r="G59" s="1"/>
      <c r="H59" s="3" t="str">
        <f>J26</f>
        <v>_10.63.0.0_16</v>
      </c>
      <c r="I59" s="42" t="str">
        <f>M26</f>
        <v>Default</v>
      </c>
      <c r="J59" s="1" t="str">
        <f>K19</f>
        <v>AZ-UW1-ITAPPS-NETWORK-RG</v>
      </c>
      <c r="K59" s="1" t="s">
        <v>128</v>
      </c>
      <c r="L59" s="42" t="str">
        <f>E59&amp;"-LOCK"</f>
        <v>AZ-UW1-ITAPPS-VN-001_10.63.0.0_16-LOCK</v>
      </c>
      <c r="M59" s="1"/>
      <c r="N59" s="44"/>
      <c r="O59" s="44"/>
      <c r="P59" s="44"/>
      <c r="Q59" s="44"/>
      <c r="R59" s="44"/>
      <c r="S59" s="44"/>
      <c r="T59" s="44"/>
      <c r="U59" s="44"/>
      <c r="V59" s="44"/>
      <c r="W59" s="44"/>
      <c r="X59" s="44"/>
    </row>
    <row r="60" spans="2:24">
      <c r="B60" s="2" t="str">
        <f>C5</f>
        <v>IT Applications</v>
      </c>
      <c r="C60" s="2" t="str">
        <f>C6</f>
        <v>West US</v>
      </c>
      <c r="D60" s="1" t="s">
        <v>127</v>
      </c>
      <c r="E60" s="1"/>
      <c r="F60" s="1" t="s">
        <v>65</v>
      </c>
      <c r="G60" s="1" t="str">
        <f>K27</f>
        <v>AZ-UW1-ITAPPS-SERVERS-SN_10.63.20.0_24</v>
      </c>
      <c r="H60" s="3" t="str">
        <f>J27</f>
        <v>_10.63.20.0_24</v>
      </c>
      <c r="I60" s="1"/>
      <c r="J60" s="1" t="str">
        <f>K19</f>
        <v>AZ-UW1-ITAPPS-NETWORK-RG</v>
      </c>
      <c r="K60" s="1"/>
      <c r="L60" s="1"/>
      <c r="M60" s="1"/>
      <c r="N60" s="44"/>
      <c r="O60" s="44"/>
      <c r="P60" s="44"/>
      <c r="Q60" s="44"/>
      <c r="R60" s="44"/>
      <c r="S60" s="44"/>
      <c r="T60" s="44"/>
      <c r="U60" s="44"/>
      <c r="V60" s="44"/>
      <c r="W60" s="44"/>
      <c r="X60" s="44"/>
    </row>
    <row r="61" spans="2:24">
      <c r="B61" s="2" t="str">
        <f>C5</f>
        <v>IT Applications</v>
      </c>
      <c r="C61" s="2" t="str">
        <f>C6</f>
        <v>West US</v>
      </c>
      <c r="D61" s="1" t="s">
        <v>129</v>
      </c>
      <c r="E61" s="1" t="str">
        <f>L27</f>
        <v>AZ-UW1-ITAPPS-SERVERS-SN-NS</v>
      </c>
      <c r="F61" s="1"/>
      <c r="G61" s="1"/>
      <c r="H61" s="3"/>
      <c r="I61" s="1"/>
      <c r="J61" s="1"/>
      <c r="K61" s="1"/>
      <c r="L61" s="1"/>
      <c r="M61" s="1"/>
      <c r="N61" s="44"/>
      <c r="O61" s="44"/>
      <c r="P61" s="44"/>
      <c r="Q61" s="44"/>
      <c r="R61" s="44"/>
      <c r="S61" s="44"/>
      <c r="T61" s="44"/>
      <c r="U61" s="44"/>
      <c r="V61" s="44"/>
      <c r="W61" s="44"/>
      <c r="X61" s="44"/>
    </row>
    <row r="62" spans="2:24">
      <c r="B62" s="2" t="str">
        <f>C5</f>
        <v>IT Applications</v>
      </c>
      <c r="C62" s="2" t="str">
        <f>C6</f>
        <v>West US</v>
      </c>
      <c r="D62" s="1" t="s">
        <v>129</v>
      </c>
      <c r="E62" s="1" t="str">
        <f>L27</f>
        <v>AZ-UW1-ITAPPS-SERVERS-SN-NS</v>
      </c>
      <c r="F62" s="1" t="s">
        <v>130</v>
      </c>
      <c r="G62" s="1" t="str">
        <f>K27</f>
        <v>AZ-UW1-ITAPPS-SERVERS-SN_10.63.20.0_24</v>
      </c>
      <c r="H62" s="1"/>
      <c r="I62" s="1"/>
      <c r="J62" s="1" t="str">
        <f>K19</f>
        <v>AZ-UW1-ITAPPS-NETWORK-RG</v>
      </c>
      <c r="K62" s="1"/>
      <c r="L62" s="1"/>
      <c r="M62" s="1"/>
      <c r="N62" s="44"/>
      <c r="O62" s="44"/>
      <c r="P62" s="44"/>
      <c r="Q62" s="44"/>
      <c r="R62" s="44"/>
      <c r="S62" s="44"/>
      <c r="T62" s="44"/>
      <c r="U62" s="44"/>
      <c r="V62" s="44"/>
      <c r="W62" s="44"/>
      <c r="X62" s="44"/>
    </row>
    <row r="63" spans="2:24">
      <c r="B63" s="2" t="str">
        <f>C5</f>
        <v>IT Applications</v>
      </c>
      <c r="C63" s="2" t="str">
        <f>C6</f>
        <v>West US</v>
      </c>
      <c r="D63" s="1" t="s">
        <v>129</v>
      </c>
      <c r="E63" s="1">
        <f t="shared" ref="E63:E64" si="1">L28</f>
        <v>0</v>
      </c>
      <c r="F63" s="1" t="s">
        <v>130</v>
      </c>
      <c r="G63" s="1">
        <f t="shared" ref="G63:G64" si="2">K28</f>
        <v>0</v>
      </c>
      <c r="H63" s="1"/>
      <c r="I63" s="1"/>
      <c r="J63" s="1" t="str">
        <f>K19</f>
        <v>AZ-UW1-ITAPPS-NETWORK-RG</v>
      </c>
      <c r="K63" s="1"/>
      <c r="L63" s="1"/>
      <c r="M63" s="1"/>
      <c r="N63" s="44"/>
      <c r="O63" s="44"/>
      <c r="P63" s="44"/>
      <c r="Q63" s="44"/>
      <c r="R63" s="44"/>
      <c r="S63" s="44"/>
      <c r="T63" s="44"/>
      <c r="U63" s="44"/>
      <c r="V63" s="44"/>
      <c r="W63" s="44"/>
      <c r="X63" s="44"/>
    </row>
    <row r="64" spans="2:24">
      <c r="B64" s="2" t="str">
        <f>C5</f>
        <v>IT Applications</v>
      </c>
      <c r="C64" s="2" t="str">
        <f>C6</f>
        <v>West US</v>
      </c>
      <c r="D64" s="1" t="s">
        <v>129</v>
      </c>
      <c r="E64" s="1">
        <f t="shared" si="1"/>
        <v>0</v>
      </c>
      <c r="F64" s="1" t="s">
        <v>130</v>
      </c>
      <c r="G64" s="1">
        <f t="shared" si="2"/>
        <v>0</v>
      </c>
      <c r="H64" s="1"/>
      <c r="I64" s="1"/>
      <c r="J64" s="1" t="str">
        <f>K19</f>
        <v>AZ-UW1-ITAPPS-NETWORK-RG</v>
      </c>
      <c r="K64" s="1"/>
      <c r="L64" s="1"/>
      <c r="M64" s="1"/>
      <c r="N64" s="44"/>
      <c r="O64" s="44"/>
      <c r="P64" s="44"/>
      <c r="Q64" s="44"/>
      <c r="R64" s="44"/>
      <c r="S64" s="44"/>
      <c r="T64" s="44"/>
      <c r="U64" s="44"/>
      <c r="V64" s="44"/>
      <c r="W64" s="44"/>
      <c r="X64" s="44"/>
    </row>
    <row r="65" spans="2:24">
      <c r="B65" s="2" t="str">
        <f>C5</f>
        <v>IT Applications</v>
      </c>
      <c r="C65" s="2" t="str">
        <f>C6</f>
        <v>West US</v>
      </c>
      <c r="D65" s="1" t="s">
        <v>127</v>
      </c>
      <c r="E65" s="44" t="s">
        <v>131</v>
      </c>
      <c r="F65" s="1" t="s">
        <v>176</v>
      </c>
      <c r="G65" s="44" t="s">
        <v>177</v>
      </c>
      <c r="H65" s="1"/>
      <c r="I65" s="1"/>
      <c r="J65" s="1"/>
      <c r="K65" s="1"/>
      <c r="L65" s="1"/>
      <c r="M65" s="1"/>
      <c r="N65" s="44"/>
      <c r="O65" s="44"/>
      <c r="P65" s="44"/>
      <c r="Q65" s="44"/>
      <c r="R65" s="44"/>
      <c r="S65" s="44"/>
      <c r="T65" s="44"/>
      <c r="U65" s="44"/>
      <c r="V65" s="44"/>
      <c r="W65" s="44"/>
      <c r="X65" s="44"/>
    </row>
    <row r="66" spans="2:24">
      <c r="B66" s="2" t="str">
        <f>C5</f>
        <v>IT Applications</v>
      </c>
      <c r="C66" s="2" t="str">
        <f>C6</f>
        <v>West US</v>
      </c>
      <c r="D66" s="1" t="s">
        <v>73</v>
      </c>
      <c r="E66" s="1" t="str">
        <f>K36</f>
        <v>azuw1stoneitappssa001</v>
      </c>
      <c r="F66" s="1"/>
      <c r="G66" s="1"/>
      <c r="H66" s="1"/>
      <c r="I66" s="1"/>
      <c r="J66" s="1" t="str">
        <f>K20</f>
        <v>AZ-UW1-ITAPPS-ADMIN-RG</v>
      </c>
      <c r="K66" s="1"/>
      <c r="L66" s="1"/>
      <c r="M66" s="1"/>
      <c r="N66" s="44"/>
      <c r="O66" s="44"/>
      <c r="P66" s="44"/>
      <c r="Q66" s="44"/>
      <c r="R66" s="44"/>
      <c r="S66" s="44"/>
      <c r="T66" s="44"/>
      <c r="U66" s="44" t="s">
        <v>134</v>
      </c>
      <c r="V66" s="44" t="s">
        <v>135</v>
      </c>
      <c r="W66" s="44" t="s">
        <v>136</v>
      </c>
      <c r="X66" s="44" t="s">
        <v>137</v>
      </c>
    </row>
    <row r="67" spans="2:24">
      <c r="B67" s="2"/>
      <c r="C67" s="2"/>
      <c r="D67" s="1"/>
      <c r="E67" s="1"/>
      <c r="F67" s="1"/>
      <c r="G67" s="1"/>
      <c r="H67" s="1"/>
      <c r="I67" s="1"/>
      <c r="J67" s="1"/>
      <c r="K67" s="1"/>
      <c r="L67" s="1"/>
      <c r="M67" s="1"/>
      <c r="N67" s="44"/>
      <c r="O67" s="44"/>
      <c r="P67" s="44"/>
      <c r="Q67" s="44"/>
      <c r="R67" s="44" t="s">
        <v>137</v>
      </c>
      <c r="S67" s="44" t="s">
        <v>138</v>
      </c>
      <c r="T67" s="44" t="s">
        <v>139</v>
      </c>
      <c r="U67" s="44"/>
      <c r="V67" s="44"/>
      <c r="W67" s="44"/>
      <c r="X67" s="44"/>
    </row>
    <row r="68" spans="2:24">
      <c r="B68" s="2"/>
      <c r="C68" s="2"/>
      <c r="D68" s="1"/>
      <c r="E68" s="1"/>
      <c r="F68" s="1"/>
      <c r="G68" s="1"/>
      <c r="H68" s="1"/>
      <c r="I68" s="1"/>
      <c r="J68" s="1"/>
      <c r="K68" s="1"/>
      <c r="L68" s="1"/>
      <c r="M68" s="1"/>
      <c r="N68" s="44"/>
      <c r="O68" s="44"/>
      <c r="P68" s="44"/>
      <c r="Q68" s="44"/>
      <c r="R68" s="44"/>
      <c r="S68" s="44"/>
      <c r="T68" s="44"/>
      <c r="U68" s="44" t="s">
        <v>134</v>
      </c>
      <c r="V68" s="44" t="s">
        <v>135</v>
      </c>
      <c r="W68" s="44" t="s">
        <v>136</v>
      </c>
      <c r="X68" s="44" t="s">
        <v>137</v>
      </c>
    </row>
    <row r="69" spans="2:24" ht="17.100000000000001" thickBot="1"/>
    <row r="70" spans="2:24" ht="17.100000000000001" thickBot="1">
      <c r="B70" s="90" t="s">
        <v>159</v>
      </c>
      <c r="C70" s="91"/>
      <c r="D70" s="91"/>
      <c r="E70" s="91"/>
      <c r="F70" s="91"/>
      <c r="G70" s="91"/>
      <c r="H70" s="91"/>
      <c r="I70" s="91"/>
      <c r="J70" s="91"/>
      <c r="K70" s="91"/>
      <c r="L70" s="91"/>
      <c r="M70" s="91"/>
      <c r="N70" s="91"/>
      <c r="O70" s="91"/>
      <c r="P70" s="91"/>
      <c r="Q70" s="91"/>
      <c r="R70" s="91"/>
      <c r="S70" s="91"/>
      <c r="T70" s="91"/>
      <c r="U70" s="91"/>
      <c r="V70" s="91"/>
      <c r="W70" s="91"/>
      <c r="X70" s="91"/>
    </row>
    <row r="71" spans="2:24" s="20" customFormat="1">
      <c r="B71" s="15" t="s">
        <v>104</v>
      </c>
      <c r="C71" s="15" t="s">
        <v>105</v>
      </c>
      <c r="D71" s="15" t="s">
        <v>39</v>
      </c>
      <c r="E71" s="15" t="s">
        <v>106</v>
      </c>
      <c r="F71" s="15" t="s">
        <v>107</v>
      </c>
      <c r="G71" s="15" t="s">
        <v>108</v>
      </c>
      <c r="H71" s="15" t="s">
        <v>109</v>
      </c>
      <c r="I71" s="15" t="s">
        <v>110</v>
      </c>
      <c r="J71" s="15" t="s">
        <v>44</v>
      </c>
      <c r="K71" s="15" t="s">
        <v>160</v>
      </c>
      <c r="L71" s="15" t="s">
        <v>112</v>
      </c>
      <c r="M71" s="15" t="s">
        <v>113</v>
      </c>
      <c r="N71" s="15" t="s">
        <v>114</v>
      </c>
      <c r="O71" s="15" t="s">
        <v>115</v>
      </c>
      <c r="P71" s="15" t="s">
        <v>118</v>
      </c>
      <c r="Q71" s="15" t="s">
        <v>119</v>
      </c>
      <c r="R71" s="15" t="s">
        <v>120</v>
      </c>
      <c r="S71" s="15" t="s">
        <v>121</v>
      </c>
      <c r="T71" s="15" t="s">
        <v>122</v>
      </c>
      <c r="U71" s="15" t="s">
        <v>123</v>
      </c>
      <c r="V71" s="15" t="s">
        <v>124</v>
      </c>
      <c r="W71" s="15" t="s">
        <v>125</v>
      </c>
      <c r="X71" s="15" t="s">
        <v>126</v>
      </c>
    </row>
  </sheetData>
  <mergeCells count="22">
    <mergeCell ref="C8:D8"/>
    <mergeCell ref="B2:K2"/>
    <mergeCell ref="B4:K4"/>
    <mergeCell ref="C5:D5"/>
    <mergeCell ref="C6:D6"/>
    <mergeCell ref="C7:D7"/>
    <mergeCell ref="B10:K10"/>
    <mergeCell ref="C11:D11"/>
    <mergeCell ref="C12:D12"/>
    <mergeCell ref="C13:D13"/>
    <mergeCell ref="D16:J16"/>
    <mergeCell ref="K16:L16"/>
    <mergeCell ref="B52:E52"/>
    <mergeCell ref="B55:X55"/>
    <mergeCell ref="B15:D15"/>
    <mergeCell ref="B70:X70"/>
    <mergeCell ref="B17:M17"/>
    <mergeCell ref="B24:M24"/>
    <mergeCell ref="B34:M34"/>
    <mergeCell ref="B37:M37"/>
    <mergeCell ref="B43:M43"/>
    <mergeCell ref="B51:F5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77F05DA607A2A4CAA5FA95AE8B6A4C4" ma:contentTypeVersion="7" ma:contentTypeDescription="Create a new document." ma:contentTypeScope="" ma:versionID="2b1de2b3930e9c636cd8b9c792a53b8e">
  <xsd:schema xmlns:xsd="http://www.w3.org/2001/XMLSchema" xmlns:xs="http://www.w3.org/2001/XMLSchema" xmlns:p="http://schemas.microsoft.com/office/2006/metadata/properties" xmlns:ns2="2c4e1b44-4198-4e94-9bea-673078799ec1" xmlns:ns3="bbc0f3e1-63d8-48db-92f9-b9c2323a3b10" targetNamespace="http://schemas.microsoft.com/office/2006/metadata/properties" ma:root="true" ma:fieldsID="7b73ca05e44a74a406f423556b9535e2" ns2:_="" ns3:_="">
    <xsd:import namespace="2c4e1b44-4198-4e94-9bea-673078799ec1"/>
    <xsd:import namespace="bbc0f3e1-63d8-48db-92f9-b9c2323a3b1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4e1b44-4198-4e94-9bea-673078799e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c0f3e1-63d8-48db-92f9-b9c2323a3b10"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E6EAC8E-FFC0-4F3D-A787-DADA07343DD8}"/>
</file>

<file path=customXml/itemProps2.xml><?xml version="1.0" encoding="utf-8"?>
<ds:datastoreItem xmlns:ds="http://schemas.openxmlformats.org/officeDocument/2006/customXml" ds:itemID="{38D18E4F-89AA-4AC0-A68E-4FE19981885E}"/>
</file>

<file path=customXml/itemProps3.xml><?xml version="1.0" encoding="utf-8"?>
<ds:datastoreItem xmlns:ds="http://schemas.openxmlformats.org/officeDocument/2006/customXml" ds:itemID="{BF0ED4E2-B32C-41B7-B40F-0CF76448233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Marshall Choate</cp:lastModifiedBy>
  <cp:revision/>
  <dcterms:created xsi:type="dcterms:W3CDTF">2020-01-16T16:58:10Z</dcterms:created>
  <dcterms:modified xsi:type="dcterms:W3CDTF">2021-02-12T20:00:23Z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0x010100077F05DA607A2A4CAA5FA95AE8B6A4C4</vt:lpwstr>
  </property>
</Properties>
</file>