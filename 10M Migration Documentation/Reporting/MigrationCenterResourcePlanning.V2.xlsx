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Reporting/"/>
    </mc:Choice>
  </mc:AlternateContent>
  <xr:revisionPtr revIDLastSave="0" documentId="8_{D54D9A97-3C3C-40D3-89B7-DEE7F8049D14}" xr6:coauthVersionLast="45" xr6:coauthVersionMax="45" xr10:uidLastSave="{00000000-0000-0000-0000-000000000000}"/>
  <bookViews>
    <workbookView minimized="1" xWindow="3120" yWindow="3120" windowWidth="21600" windowHeight="11505" xr2:uid="{21119993-6991-427B-93E7-838DD80FF0F0}"/>
  </bookViews>
  <sheets>
    <sheet name="Master Hrs &amp; Util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52" i="1" l="1"/>
  <c r="R152" i="1"/>
  <c r="P152" i="1"/>
  <c r="M152" i="1"/>
  <c r="Y150" i="1"/>
  <c r="U150" i="1"/>
  <c r="T150" i="1"/>
  <c r="S150" i="1"/>
  <c r="R150" i="1"/>
  <c r="Q150" i="1"/>
  <c r="P150" i="1"/>
  <c r="O150" i="1"/>
  <c r="N150" i="1"/>
  <c r="M150" i="1"/>
  <c r="L150" i="1"/>
  <c r="H150" i="1"/>
  <c r="G150" i="1"/>
  <c r="AA149" i="1"/>
  <c r="I149" i="1"/>
  <c r="AA148" i="1"/>
  <c r="I148" i="1"/>
  <c r="AA147" i="1"/>
  <c r="I147" i="1"/>
  <c r="AA146" i="1"/>
  <c r="I146" i="1"/>
  <c r="AA145" i="1"/>
  <c r="I145" i="1"/>
  <c r="AA144" i="1"/>
  <c r="I144" i="1"/>
  <c r="AA143" i="1"/>
  <c r="I143" i="1"/>
  <c r="AA142" i="1"/>
  <c r="I142" i="1"/>
  <c r="AA140" i="1"/>
  <c r="Y140" i="1"/>
  <c r="I140" i="1"/>
  <c r="AA139" i="1"/>
  <c r="Y139" i="1"/>
  <c r="I139" i="1"/>
  <c r="AA138" i="1"/>
  <c r="Y138" i="1"/>
  <c r="I138" i="1"/>
  <c r="AA137" i="1"/>
  <c r="Y137" i="1"/>
  <c r="I137" i="1"/>
  <c r="AA136" i="1"/>
  <c r="Y136" i="1"/>
  <c r="I136" i="1"/>
  <c r="AA135" i="1"/>
  <c r="Y135" i="1"/>
  <c r="I135" i="1"/>
  <c r="AA130" i="1"/>
  <c r="I130" i="1"/>
  <c r="F130" i="1"/>
  <c r="AA129" i="1"/>
  <c r="I129" i="1"/>
  <c r="F129" i="1"/>
  <c r="AA128" i="1"/>
  <c r="I128" i="1"/>
  <c r="F128" i="1"/>
  <c r="AA126" i="1"/>
  <c r="I126" i="1"/>
  <c r="F126" i="1"/>
  <c r="AA125" i="1"/>
  <c r="I125" i="1"/>
  <c r="F125" i="1"/>
  <c r="AA124" i="1"/>
  <c r="I124" i="1"/>
  <c r="F124" i="1"/>
  <c r="AA123" i="1"/>
  <c r="I123" i="1"/>
  <c r="F123" i="1"/>
  <c r="AA122" i="1"/>
  <c r="I122" i="1"/>
  <c r="F122" i="1"/>
  <c r="AA121" i="1"/>
  <c r="I121" i="1"/>
  <c r="F121" i="1"/>
  <c r="AA120" i="1"/>
  <c r="I120" i="1"/>
  <c r="F120" i="1"/>
  <c r="AA119" i="1"/>
  <c r="I119" i="1"/>
  <c r="F119" i="1"/>
  <c r="AA118" i="1"/>
  <c r="I118" i="1"/>
  <c r="F118" i="1"/>
  <c r="AA117" i="1"/>
  <c r="I117" i="1"/>
  <c r="F117" i="1"/>
  <c r="AA116" i="1"/>
  <c r="I116" i="1"/>
  <c r="F116" i="1"/>
  <c r="AA115" i="1"/>
  <c r="I115" i="1"/>
  <c r="F115" i="1"/>
  <c r="AA114" i="1"/>
  <c r="I114" i="1"/>
  <c r="F114" i="1"/>
  <c r="AA113" i="1"/>
  <c r="I113" i="1"/>
  <c r="F113" i="1"/>
  <c r="AA111" i="1"/>
  <c r="I111" i="1"/>
  <c r="F111" i="1"/>
  <c r="AA110" i="1"/>
  <c r="I110" i="1"/>
  <c r="F110" i="1"/>
  <c r="AA109" i="1"/>
  <c r="I109" i="1"/>
  <c r="F109" i="1"/>
  <c r="AA108" i="1"/>
  <c r="I108" i="1"/>
  <c r="F108" i="1"/>
  <c r="AA107" i="1"/>
  <c r="I107" i="1"/>
  <c r="F107" i="1"/>
  <c r="AA105" i="1"/>
  <c r="I105" i="1"/>
  <c r="F105" i="1"/>
  <c r="AA104" i="1"/>
  <c r="I104" i="1"/>
  <c r="F104" i="1"/>
  <c r="AA103" i="1"/>
  <c r="I103" i="1"/>
  <c r="F103" i="1"/>
  <c r="AA102" i="1"/>
  <c r="I102" i="1"/>
  <c r="F102" i="1"/>
  <c r="AA101" i="1"/>
  <c r="I101" i="1"/>
  <c r="F101" i="1"/>
  <c r="AA100" i="1"/>
  <c r="I100" i="1"/>
  <c r="F100" i="1"/>
  <c r="AA99" i="1"/>
  <c r="I99" i="1"/>
  <c r="F99" i="1"/>
  <c r="AA98" i="1"/>
  <c r="I98" i="1"/>
  <c r="F98" i="1"/>
  <c r="AA97" i="1"/>
  <c r="I97" i="1"/>
  <c r="F97" i="1"/>
  <c r="AA96" i="1"/>
  <c r="I96" i="1"/>
  <c r="F96" i="1"/>
  <c r="AA95" i="1"/>
  <c r="I95" i="1"/>
  <c r="F95" i="1"/>
  <c r="AA94" i="1"/>
  <c r="I94" i="1"/>
  <c r="F94" i="1"/>
  <c r="AA93" i="1"/>
  <c r="I93" i="1"/>
  <c r="F93" i="1"/>
  <c r="AA92" i="1"/>
  <c r="I92" i="1"/>
  <c r="F92" i="1"/>
  <c r="AA91" i="1"/>
  <c r="I91" i="1"/>
  <c r="F91" i="1"/>
  <c r="AA90" i="1"/>
  <c r="I90" i="1"/>
  <c r="F90" i="1"/>
  <c r="AA89" i="1"/>
  <c r="I89" i="1"/>
  <c r="F89" i="1"/>
  <c r="AA88" i="1"/>
  <c r="I88" i="1"/>
  <c r="F88" i="1"/>
  <c r="AA87" i="1"/>
  <c r="I87" i="1"/>
  <c r="F87" i="1"/>
  <c r="AA85" i="1"/>
  <c r="I85" i="1"/>
  <c r="F85" i="1"/>
  <c r="AA84" i="1"/>
  <c r="I84" i="1"/>
  <c r="F84" i="1"/>
  <c r="AA83" i="1"/>
  <c r="I83" i="1"/>
  <c r="F83" i="1"/>
  <c r="AA82" i="1"/>
  <c r="I82" i="1"/>
  <c r="F82" i="1"/>
  <c r="AA81" i="1"/>
  <c r="I81" i="1"/>
  <c r="F81" i="1"/>
  <c r="AA80" i="1"/>
  <c r="I80" i="1"/>
  <c r="F80" i="1"/>
  <c r="AA79" i="1"/>
  <c r="I79" i="1"/>
  <c r="F79" i="1"/>
  <c r="AA77" i="1"/>
  <c r="I77" i="1"/>
  <c r="F77" i="1"/>
  <c r="AA76" i="1"/>
  <c r="I76" i="1"/>
  <c r="F76" i="1"/>
  <c r="AA75" i="1"/>
  <c r="I75" i="1"/>
  <c r="F75" i="1"/>
  <c r="AA74" i="1"/>
  <c r="I74" i="1"/>
  <c r="F74" i="1"/>
  <c r="AA73" i="1"/>
  <c r="I73" i="1"/>
  <c r="F73" i="1"/>
  <c r="AA72" i="1"/>
  <c r="I72" i="1"/>
  <c r="F72" i="1"/>
  <c r="AA71" i="1"/>
  <c r="I71" i="1"/>
  <c r="F71" i="1"/>
  <c r="AA69" i="1"/>
  <c r="I69" i="1"/>
  <c r="F69" i="1"/>
  <c r="AA68" i="1"/>
  <c r="I68" i="1"/>
  <c r="F68" i="1"/>
  <c r="AA67" i="1"/>
  <c r="I67" i="1"/>
  <c r="F67" i="1"/>
  <c r="AA66" i="1"/>
  <c r="I66" i="1"/>
  <c r="F66" i="1"/>
  <c r="AA65" i="1"/>
  <c r="I65" i="1"/>
  <c r="F65" i="1"/>
  <c r="AA64" i="1"/>
  <c r="I64" i="1"/>
  <c r="F64" i="1"/>
  <c r="AA63" i="1"/>
  <c r="I63" i="1"/>
  <c r="F63" i="1"/>
  <c r="AA61" i="1"/>
  <c r="I61" i="1"/>
  <c r="F61" i="1"/>
  <c r="AA60" i="1"/>
  <c r="I60" i="1"/>
  <c r="F60" i="1"/>
  <c r="AA59" i="1"/>
  <c r="I59" i="1"/>
  <c r="F59" i="1"/>
  <c r="AA58" i="1"/>
  <c r="I58" i="1"/>
  <c r="F58" i="1"/>
  <c r="AA57" i="1"/>
  <c r="I57" i="1"/>
  <c r="F57" i="1"/>
  <c r="AA56" i="1"/>
  <c r="I56" i="1"/>
  <c r="F56" i="1"/>
  <c r="AA55" i="1"/>
  <c r="I55" i="1"/>
  <c r="F55" i="1"/>
  <c r="AA53" i="1"/>
  <c r="I53" i="1"/>
  <c r="I7" i="1" s="1"/>
  <c r="F53" i="1"/>
  <c r="AA52" i="1"/>
  <c r="I52" i="1"/>
  <c r="F52" i="1"/>
  <c r="AA51" i="1"/>
  <c r="I51" i="1"/>
  <c r="F51" i="1"/>
  <c r="AA50" i="1"/>
  <c r="I50" i="1"/>
  <c r="F50" i="1"/>
  <c r="AA49" i="1"/>
  <c r="I49" i="1"/>
  <c r="F49" i="1"/>
  <c r="AA48" i="1"/>
  <c r="I48" i="1"/>
  <c r="F48" i="1"/>
  <c r="AA47" i="1"/>
  <c r="I47" i="1"/>
  <c r="F47" i="1"/>
  <c r="AA45" i="1"/>
  <c r="I45" i="1"/>
  <c r="F45" i="1"/>
  <c r="AA44" i="1"/>
  <c r="I44" i="1"/>
  <c r="F44" i="1"/>
  <c r="AA43" i="1"/>
  <c r="I43" i="1"/>
  <c r="F43" i="1"/>
  <c r="AA42" i="1"/>
  <c r="I42" i="1"/>
  <c r="F42" i="1"/>
  <c r="AA41" i="1"/>
  <c r="I41" i="1"/>
  <c r="F41" i="1"/>
  <c r="AA40" i="1"/>
  <c r="I40" i="1"/>
  <c r="F40" i="1"/>
  <c r="AA39" i="1"/>
  <c r="I39" i="1"/>
  <c r="I150" i="1" s="1"/>
  <c r="I6" i="1" s="1"/>
  <c r="F39" i="1"/>
  <c r="C35" i="1"/>
  <c r="B35" i="1"/>
  <c r="U34" i="1" a="1"/>
  <c r="U34" i="1" s="1"/>
  <c r="T34" i="1" a="1"/>
  <c r="T34" i="1" s="1"/>
  <c r="S34" i="1" a="1"/>
  <c r="S34" i="1" s="1"/>
  <c r="R34" i="1" a="1"/>
  <c r="R34" i="1" s="1"/>
  <c r="Q34" i="1"/>
  <c r="Q34" i="1" a="1"/>
  <c r="P34" i="1" a="1"/>
  <c r="P34" i="1" s="1"/>
  <c r="O34" i="1" a="1"/>
  <c r="O34" i="1" s="1"/>
  <c r="N34" i="1" a="1"/>
  <c r="N34" i="1" s="1"/>
  <c r="M34" i="1" a="1"/>
  <c r="M34" i="1" s="1"/>
  <c r="L34" i="1" a="1"/>
  <c r="L34" i="1" s="1"/>
  <c r="H34" i="1"/>
  <c r="E34" i="1" s="1"/>
  <c r="F34" i="1" s="1"/>
  <c r="H34" i="1" a="1"/>
  <c r="G34" i="1" a="1"/>
  <c r="G34" i="1" s="1"/>
  <c r="U33" i="1"/>
  <c r="U33" i="1" a="1"/>
  <c r="T33" i="1" a="1"/>
  <c r="T33" i="1" s="1"/>
  <c r="S33" i="1"/>
  <c r="S33" i="1" a="1"/>
  <c r="R33" i="1"/>
  <c r="R33" i="1" a="1"/>
  <c r="Q33" i="1"/>
  <c r="Q33" i="1" a="1"/>
  <c r="P33" i="1" a="1"/>
  <c r="P33" i="1" s="1"/>
  <c r="O33" i="1" a="1"/>
  <c r="O33" i="1" s="1"/>
  <c r="N33" i="1"/>
  <c r="N33" i="1" a="1"/>
  <c r="M33" i="1" a="1"/>
  <c r="M33" i="1" s="1"/>
  <c r="L33" i="1" a="1"/>
  <c r="L33" i="1" s="1"/>
  <c r="H33" i="1" a="1"/>
  <c r="H33" i="1" s="1"/>
  <c r="G33" i="1" a="1"/>
  <c r="G33" i="1" s="1"/>
  <c r="U32" i="1" a="1"/>
  <c r="U32" i="1" s="1"/>
  <c r="T32" i="1"/>
  <c r="T32" i="1" a="1"/>
  <c r="S32" i="1" a="1"/>
  <c r="S32" i="1" s="1"/>
  <c r="R32" i="1" a="1"/>
  <c r="R32" i="1" s="1"/>
  <c r="Q32" i="1"/>
  <c r="Q32" i="1" a="1"/>
  <c r="P32" i="1" a="1"/>
  <c r="P32" i="1" s="1"/>
  <c r="O32" i="1" a="1"/>
  <c r="O32" i="1" s="1"/>
  <c r="N32" i="1" a="1"/>
  <c r="N32" i="1" s="1"/>
  <c r="M32" i="1" a="1"/>
  <c r="M32" i="1" s="1"/>
  <c r="L32" i="1"/>
  <c r="L32" i="1" a="1"/>
  <c r="H32" i="1" a="1"/>
  <c r="H32" i="1" s="1"/>
  <c r="G32" i="1" a="1"/>
  <c r="G32" i="1" s="1"/>
  <c r="U31" i="1"/>
  <c r="U31" i="1" a="1"/>
  <c r="T31" i="1"/>
  <c r="T31" i="1" a="1"/>
  <c r="S31" i="1" a="1"/>
  <c r="S31" i="1" s="1"/>
  <c r="R31" i="1" a="1"/>
  <c r="R31" i="1" s="1"/>
  <c r="Q31" i="1"/>
  <c r="Q31" i="1" a="1"/>
  <c r="P31" i="1" a="1"/>
  <c r="P31" i="1" s="1"/>
  <c r="O31" i="1" a="1"/>
  <c r="O31" i="1" s="1"/>
  <c r="N31" i="1"/>
  <c r="N31" i="1" a="1"/>
  <c r="M31" i="1"/>
  <c r="M31" i="1" a="1"/>
  <c r="L31" i="1"/>
  <c r="L31" i="1" a="1"/>
  <c r="H31" i="1" a="1"/>
  <c r="H31" i="1" s="1"/>
  <c r="G31" i="1"/>
  <c r="G31" i="1" a="1"/>
  <c r="U30" i="1"/>
  <c r="U30" i="1" a="1"/>
  <c r="T30" i="1"/>
  <c r="T30" i="1" a="1"/>
  <c r="S30" i="1" a="1"/>
  <c r="S30" i="1" s="1"/>
  <c r="R30" i="1" a="1"/>
  <c r="R30" i="1" s="1"/>
  <c r="Q30" i="1"/>
  <c r="Q30" i="1" a="1"/>
  <c r="P30" i="1" a="1"/>
  <c r="P30" i="1" s="1"/>
  <c r="O30" i="1"/>
  <c r="O30" i="1" a="1"/>
  <c r="N30" i="1" a="1"/>
  <c r="N30" i="1" s="1"/>
  <c r="M30" i="1" a="1"/>
  <c r="M30" i="1" s="1"/>
  <c r="L30" i="1"/>
  <c r="L30" i="1" a="1"/>
  <c r="H30" i="1"/>
  <c r="I30" i="1" s="1"/>
  <c r="H30" i="1" a="1"/>
  <c r="G30" i="1"/>
  <c r="G30" i="1" a="1"/>
  <c r="U29" i="1" a="1"/>
  <c r="U29" i="1" s="1"/>
  <c r="T29" i="1"/>
  <c r="T29" i="1" a="1"/>
  <c r="S29" i="1" a="1"/>
  <c r="S29" i="1" s="1"/>
  <c r="R29" i="1" a="1"/>
  <c r="R29" i="1" s="1"/>
  <c r="Q29" i="1"/>
  <c r="Q29" i="1" a="1"/>
  <c r="P29" i="1"/>
  <c r="P29" i="1" a="1"/>
  <c r="O29" i="1"/>
  <c r="O29" i="1" a="1"/>
  <c r="N29" i="1" a="1"/>
  <c r="N29" i="1" s="1"/>
  <c r="M29" i="1" a="1"/>
  <c r="M29" i="1" s="1"/>
  <c r="L29" i="1"/>
  <c r="L29" i="1" a="1"/>
  <c r="H29" i="1" a="1"/>
  <c r="H29" i="1" s="1"/>
  <c r="G29" i="1"/>
  <c r="G29" i="1" a="1"/>
  <c r="U28" i="1" a="1"/>
  <c r="U28" i="1" s="1"/>
  <c r="T28" i="1"/>
  <c r="T28" i="1" a="1"/>
  <c r="S28" i="1" a="1"/>
  <c r="S28" i="1" s="1"/>
  <c r="R28" i="1"/>
  <c r="R28" i="1" a="1"/>
  <c r="Q28" i="1" a="1"/>
  <c r="Q28" i="1" s="1"/>
  <c r="P28" i="1" a="1"/>
  <c r="P28" i="1" s="1"/>
  <c r="O28" i="1" a="1"/>
  <c r="O28" i="1" s="1"/>
  <c r="N28" i="1" a="1"/>
  <c r="N28" i="1" s="1"/>
  <c r="M28" i="1" a="1"/>
  <c r="M28" i="1" s="1"/>
  <c r="L28" i="1"/>
  <c r="L28" i="1" a="1"/>
  <c r="H28" i="1" a="1"/>
  <c r="H28" i="1" s="1"/>
  <c r="G28" i="1"/>
  <c r="G28" i="1" a="1"/>
  <c r="U27" i="1" a="1"/>
  <c r="U27" i="1" s="1"/>
  <c r="T27" i="1"/>
  <c r="T27" i="1" a="1"/>
  <c r="S27" i="1"/>
  <c r="S27" i="1" a="1"/>
  <c r="R27" i="1"/>
  <c r="R27" i="1" a="1"/>
  <c r="Q27" i="1"/>
  <c r="Q27" i="1" a="1"/>
  <c r="P27" i="1" a="1"/>
  <c r="P27" i="1" s="1"/>
  <c r="O27" i="1"/>
  <c r="O27" i="1" a="1"/>
  <c r="N27" i="1" a="1"/>
  <c r="N27" i="1" s="1"/>
  <c r="M27" i="1" a="1"/>
  <c r="M27" i="1" s="1"/>
  <c r="L27" i="1"/>
  <c r="L27" i="1" a="1"/>
  <c r="H27" i="1" a="1"/>
  <c r="H27" i="1" s="1"/>
  <c r="G27" i="1"/>
  <c r="G27" i="1" a="1"/>
  <c r="U26" i="1"/>
  <c r="U26" i="1" a="1"/>
  <c r="T26" i="1"/>
  <c r="T26" i="1" a="1"/>
  <c r="S26" i="1" a="1"/>
  <c r="S26" i="1" s="1"/>
  <c r="R26" i="1"/>
  <c r="R26" i="1" a="1"/>
  <c r="Q26" i="1" a="1"/>
  <c r="Q26" i="1" s="1"/>
  <c r="P26" i="1" a="1"/>
  <c r="P26" i="1" s="1"/>
  <c r="O26" i="1" a="1"/>
  <c r="O26" i="1" s="1"/>
  <c r="N26" i="1" a="1"/>
  <c r="N26" i="1" s="1"/>
  <c r="M26" i="1"/>
  <c r="M26" i="1" a="1"/>
  <c r="L26" i="1" a="1"/>
  <c r="L26" i="1" s="1"/>
  <c r="H26" i="1" a="1"/>
  <c r="H26" i="1" s="1"/>
  <c r="G26" i="1"/>
  <c r="G26" i="1" a="1"/>
  <c r="U25" i="1"/>
  <c r="U25" i="1" a="1"/>
  <c r="T25" i="1"/>
  <c r="T25" i="1" a="1"/>
  <c r="S25" i="1" a="1"/>
  <c r="S25" i="1" s="1"/>
  <c r="R25" i="1"/>
  <c r="R25" i="1" a="1"/>
  <c r="Q25" i="1" a="1"/>
  <c r="Q25" i="1" s="1"/>
  <c r="P25" i="1" a="1"/>
  <c r="P25" i="1" s="1"/>
  <c r="O25" i="1"/>
  <c r="O25" i="1" a="1"/>
  <c r="N25" i="1"/>
  <c r="N25" i="1" a="1"/>
  <c r="M25" i="1"/>
  <c r="M25" i="1" a="1"/>
  <c r="L25" i="1"/>
  <c r="L25" i="1" a="1"/>
  <c r="H25" i="1"/>
  <c r="E25" i="1" s="1"/>
  <c r="F25" i="1" s="1"/>
  <c r="H25" i="1" a="1"/>
  <c r="G25" i="1" a="1"/>
  <c r="G25" i="1" s="1"/>
  <c r="U24" i="1"/>
  <c r="U24" i="1" a="1"/>
  <c r="T24" i="1" a="1"/>
  <c r="T24" i="1" s="1"/>
  <c r="S24" i="1" a="1"/>
  <c r="S24" i="1" s="1"/>
  <c r="R24" i="1"/>
  <c r="R24" i="1" a="1"/>
  <c r="Q24" i="1" a="1"/>
  <c r="Q24" i="1" s="1"/>
  <c r="P24" i="1"/>
  <c r="P24" i="1" a="1"/>
  <c r="O24" i="1" a="1"/>
  <c r="O24" i="1" s="1"/>
  <c r="N24" i="1" a="1"/>
  <c r="N24" i="1" s="1"/>
  <c r="M24" i="1"/>
  <c r="M24" i="1" a="1"/>
  <c r="L24" i="1" a="1"/>
  <c r="L24" i="1" s="1"/>
  <c r="H24" i="1"/>
  <c r="H24" i="1" a="1"/>
  <c r="G24" i="1" a="1"/>
  <c r="G24" i="1" s="1"/>
  <c r="E24" i="1"/>
  <c r="F24" i="1" s="1"/>
  <c r="U23" i="1"/>
  <c r="U23" i="1" a="1"/>
  <c r="T23" i="1" a="1"/>
  <c r="T23" i="1" s="1"/>
  <c r="S23" i="1" a="1"/>
  <c r="S23" i="1" s="1"/>
  <c r="R23" i="1"/>
  <c r="R23" i="1" a="1"/>
  <c r="Q23" i="1"/>
  <c r="Q23" i="1" a="1"/>
  <c r="P23" i="1"/>
  <c r="P23" i="1" a="1"/>
  <c r="O23" i="1" a="1"/>
  <c r="O23" i="1" s="1"/>
  <c r="N23" i="1" a="1"/>
  <c r="N23" i="1" s="1"/>
  <c r="M23" i="1"/>
  <c r="M23" i="1" a="1"/>
  <c r="L23" i="1" a="1"/>
  <c r="L23" i="1" s="1"/>
  <c r="H23" i="1"/>
  <c r="I23" i="1" s="1"/>
  <c r="H23" i="1" a="1"/>
  <c r="G23" i="1" a="1"/>
  <c r="G23" i="1" s="1"/>
  <c r="U22" i="1"/>
  <c r="U22" i="1" a="1"/>
  <c r="T22" i="1" a="1"/>
  <c r="T22" i="1" s="1"/>
  <c r="S22" i="1"/>
  <c r="S22" i="1" a="1"/>
  <c r="R22" i="1" a="1"/>
  <c r="R22" i="1" s="1"/>
  <c r="Q22" i="1"/>
  <c r="Q22" i="1" a="1"/>
  <c r="P22" i="1" a="1"/>
  <c r="P22" i="1" s="1"/>
  <c r="O22" i="1" a="1"/>
  <c r="O22" i="1" s="1"/>
  <c r="N22" i="1" a="1"/>
  <c r="N22" i="1" s="1"/>
  <c r="M22" i="1"/>
  <c r="M22" i="1" a="1"/>
  <c r="L22" i="1" a="1"/>
  <c r="L22" i="1" s="1"/>
  <c r="H22" i="1"/>
  <c r="E22" i="1" s="1"/>
  <c r="F22" i="1" s="1"/>
  <c r="H22" i="1" a="1"/>
  <c r="G22" i="1" a="1"/>
  <c r="G22" i="1" s="1"/>
  <c r="I22" i="1" s="1"/>
  <c r="U21" i="1"/>
  <c r="U21" i="1" a="1"/>
  <c r="T21" i="1"/>
  <c r="T21" i="1" a="1"/>
  <c r="S21" i="1"/>
  <c r="S21" i="1" a="1"/>
  <c r="R21" i="1" a="1"/>
  <c r="R21" i="1" s="1"/>
  <c r="Q21" i="1" a="1"/>
  <c r="Q21" i="1" s="1"/>
  <c r="P21" i="1"/>
  <c r="P21" i="1" a="1"/>
  <c r="O21" i="1" a="1"/>
  <c r="O21" i="1" s="1"/>
  <c r="N21" i="1" a="1"/>
  <c r="N21" i="1" s="1"/>
  <c r="M21" i="1"/>
  <c r="M21" i="1" a="1"/>
  <c r="L21" i="1"/>
  <c r="L21" i="1" a="1"/>
  <c r="H21" i="1" a="1"/>
  <c r="H21" i="1" s="1"/>
  <c r="G21" i="1" a="1"/>
  <c r="G21" i="1" s="1"/>
  <c r="U20" i="1"/>
  <c r="U20" i="1" a="1"/>
  <c r="T20" i="1"/>
  <c r="T20" i="1" a="1"/>
  <c r="S20" i="1" a="1"/>
  <c r="S20" i="1" s="1"/>
  <c r="R20" i="1" a="1"/>
  <c r="R20" i="1" s="1"/>
  <c r="Q20" i="1" a="1"/>
  <c r="Q20" i="1" s="1"/>
  <c r="P20" i="1" a="1"/>
  <c r="P20" i="1" s="1"/>
  <c r="O20" i="1" a="1"/>
  <c r="O20" i="1" s="1"/>
  <c r="N20" i="1"/>
  <c r="N20" i="1" a="1"/>
  <c r="M20" i="1"/>
  <c r="M20" i="1" a="1"/>
  <c r="L20" i="1"/>
  <c r="L20" i="1" a="1"/>
  <c r="H20" i="1"/>
  <c r="I20" i="1" s="1"/>
  <c r="H20" i="1" a="1"/>
  <c r="G20" i="1"/>
  <c r="G20" i="1" a="1"/>
  <c r="U19" i="1"/>
  <c r="U19" i="1" a="1"/>
  <c r="T19" i="1" a="1"/>
  <c r="T19" i="1" s="1"/>
  <c r="S19" i="1"/>
  <c r="S19" i="1" a="1"/>
  <c r="R19" i="1" a="1"/>
  <c r="R19" i="1" s="1"/>
  <c r="Q19" i="1" a="1"/>
  <c r="Q19" i="1" s="1"/>
  <c r="P19" i="1"/>
  <c r="P19" i="1" a="1"/>
  <c r="O19" i="1"/>
  <c r="O19" i="1" a="1"/>
  <c r="N19" i="1"/>
  <c r="N19" i="1" a="1"/>
  <c r="M19" i="1"/>
  <c r="M19" i="1" a="1"/>
  <c r="L19" i="1" a="1"/>
  <c r="L19" i="1" s="1"/>
  <c r="H19" i="1"/>
  <c r="H19" i="1" a="1"/>
  <c r="G19" i="1" a="1"/>
  <c r="G19" i="1" s="1"/>
  <c r="I19" i="1" s="1"/>
  <c r="F19" i="1"/>
  <c r="E19" i="1"/>
  <c r="U18" i="1" a="1"/>
  <c r="U18" i="1" s="1"/>
  <c r="U35" i="1" s="1"/>
  <c r="T18" i="1" a="1"/>
  <c r="T18" i="1" s="1"/>
  <c r="T35" i="1" s="1"/>
  <c r="S18" i="1" a="1"/>
  <c r="S18" i="1" s="1"/>
  <c r="S35" i="1" s="1"/>
  <c r="R18" i="1" a="1"/>
  <c r="R18" i="1" s="1"/>
  <c r="Q18" i="1"/>
  <c r="Q35" i="1" s="1"/>
  <c r="Q18" i="1" a="1"/>
  <c r="P18" i="1" a="1"/>
  <c r="P18" i="1" s="1"/>
  <c r="P35" i="1" s="1"/>
  <c r="O18" i="1" a="1"/>
  <c r="O18" i="1" s="1"/>
  <c r="O35" i="1" s="1"/>
  <c r="N18" i="1" a="1"/>
  <c r="N18" i="1" s="1"/>
  <c r="N35" i="1" s="1"/>
  <c r="M18" i="1" a="1"/>
  <c r="M18" i="1" s="1"/>
  <c r="M35" i="1" s="1"/>
  <c r="L18" i="1" a="1"/>
  <c r="L18" i="1" s="1"/>
  <c r="H18" i="1"/>
  <c r="E18" i="1" s="1"/>
  <c r="F18" i="1" s="1"/>
  <c r="H18" i="1" a="1"/>
  <c r="G18" i="1" a="1"/>
  <c r="G18" i="1" s="1"/>
  <c r="G35" i="1" s="1"/>
  <c r="C16" i="1"/>
  <c r="B16" i="1"/>
  <c r="U15" i="1" a="1"/>
  <c r="U15" i="1" s="1"/>
  <c r="T15" i="1" a="1"/>
  <c r="T15" i="1" s="1"/>
  <c r="S15" i="1" a="1"/>
  <c r="S15" i="1" s="1"/>
  <c r="R15" i="1" a="1"/>
  <c r="R15" i="1" s="1"/>
  <c r="Q15" i="1" a="1"/>
  <c r="Q15" i="1" s="1"/>
  <c r="P15" i="1" a="1"/>
  <c r="P15" i="1" s="1"/>
  <c r="O15" i="1" a="1"/>
  <c r="O15" i="1" s="1"/>
  <c r="N15" i="1"/>
  <c r="N15" i="1" a="1"/>
  <c r="M15" i="1" a="1"/>
  <c r="M15" i="1" s="1"/>
  <c r="L15" i="1" a="1"/>
  <c r="L15" i="1" s="1"/>
  <c r="H15" i="1"/>
  <c r="I15" i="1" s="1"/>
  <c r="H15" i="1" a="1"/>
  <c r="G15" i="1"/>
  <c r="G15" i="1" a="1"/>
  <c r="U14" i="1" a="1"/>
  <c r="U14" i="1" s="1"/>
  <c r="T14" i="1" a="1"/>
  <c r="T14" i="1" s="1"/>
  <c r="S14" i="1"/>
  <c r="S14" i="1" a="1"/>
  <c r="R14" i="1"/>
  <c r="R14" i="1" a="1"/>
  <c r="Q14" i="1"/>
  <c r="Q14" i="1" a="1"/>
  <c r="P14" i="1"/>
  <c r="P14" i="1" a="1"/>
  <c r="O14" i="1"/>
  <c r="O14" i="1" a="1"/>
  <c r="N14" i="1"/>
  <c r="N14" i="1" a="1"/>
  <c r="M14" i="1" a="1"/>
  <c r="M14" i="1" s="1"/>
  <c r="L14" i="1" a="1"/>
  <c r="L14" i="1" s="1"/>
  <c r="H14" i="1" a="1"/>
  <c r="H14" i="1" s="1"/>
  <c r="G14" i="1" a="1"/>
  <c r="G14" i="1" s="1"/>
  <c r="U13" i="1" a="1"/>
  <c r="U13" i="1" s="1"/>
  <c r="T13" i="1" a="1"/>
  <c r="T13" i="1" s="1"/>
  <c r="S13" i="1" a="1"/>
  <c r="S13" i="1" s="1"/>
  <c r="R13" i="1" a="1"/>
  <c r="R13" i="1" s="1"/>
  <c r="Q13" i="1"/>
  <c r="Q13" i="1" a="1"/>
  <c r="P13" i="1" a="1"/>
  <c r="P13" i="1" s="1"/>
  <c r="O13" i="1" a="1"/>
  <c r="O13" i="1" s="1"/>
  <c r="N13" i="1" a="1"/>
  <c r="N13" i="1" s="1"/>
  <c r="M13" i="1" a="1"/>
  <c r="M13" i="1" s="1"/>
  <c r="L13" i="1" a="1"/>
  <c r="L13" i="1" s="1"/>
  <c r="H13" i="1" a="1"/>
  <c r="H13" i="1" s="1"/>
  <c r="G13" i="1" a="1"/>
  <c r="G13" i="1" s="1"/>
  <c r="U12" i="1"/>
  <c r="U12" i="1" a="1"/>
  <c r="T12" i="1"/>
  <c r="T12" i="1" a="1"/>
  <c r="S12" i="1"/>
  <c r="S12" i="1" a="1"/>
  <c r="R12" i="1"/>
  <c r="R12" i="1" a="1"/>
  <c r="Q12" i="1"/>
  <c r="Q12" i="1" a="1"/>
  <c r="P12" i="1" a="1"/>
  <c r="P12" i="1" s="1"/>
  <c r="O12" i="1" a="1"/>
  <c r="O12" i="1" s="1"/>
  <c r="N12" i="1"/>
  <c r="N12" i="1" a="1"/>
  <c r="M12" i="1"/>
  <c r="M12" i="1" a="1"/>
  <c r="L12" i="1"/>
  <c r="L12" i="1" a="1"/>
  <c r="H12" i="1" a="1"/>
  <c r="H12" i="1" s="1"/>
  <c r="G12" i="1" a="1"/>
  <c r="G12" i="1" s="1"/>
  <c r="U11" i="1"/>
  <c r="U16" i="1" s="1"/>
  <c r="U11" i="1" a="1"/>
  <c r="T11" i="1"/>
  <c r="T11" i="1" a="1"/>
  <c r="S11" i="1" a="1"/>
  <c r="S11" i="1" s="1"/>
  <c r="R11" i="1" a="1"/>
  <c r="R11" i="1" s="1"/>
  <c r="Q11" i="1" a="1"/>
  <c r="Q11" i="1" s="1"/>
  <c r="Q16" i="1" s="1"/>
  <c r="P11" i="1" a="1"/>
  <c r="P11" i="1" s="1"/>
  <c r="O11" i="1" a="1"/>
  <c r="O11" i="1" s="1"/>
  <c r="N11" i="1" a="1"/>
  <c r="N11" i="1" s="1"/>
  <c r="N16" i="1" s="1"/>
  <c r="M11" i="1"/>
  <c r="M11" i="1" a="1"/>
  <c r="L11" i="1"/>
  <c r="L11" i="1" a="1"/>
  <c r="H11" i="1"/>
  <c r="I11" i="1" s="1"/>
  <c r="H11" i="1" a="1"/>
  <c r="G11" i="1"/>
  <c r="G16" i="1" s="1"/>
  <c r="G11" i="1" a="1"/>
  <c r="Y7" i="1"/>
  <c r="Y6" i="1" s="1"/>
  <c r="U7" i="1"/>
  <c r="Q154" i="1" s="1"/>
  <c r="T7" i="1"/>
  <c r="S7" i="1"/>
  <c r="R7" i="1"/>
  <c r="R153" i="1" s="1"/>
  <c r="Q7" i="1"/>
  <c r="Q153" i="1" s="1"/>
  <c r="P7" i="1"/>
  <c r="L154" i="1" s="1"/>
  <c r="O7" i="1"/>
  <c r="N7" i="1"/>
  <c r="M7" i="1"/>
  <c r="M153" i="1" s="1"/>
  <c r="L7" i="1"/>
  <c r="L153" i="1" s="1"/>
  <c r="H7" i="1"/>
  <c r="H153" i="1" s="1"/>
  <c r="G7" i="1"/>
  <c r="G153" i="1" s="1"/>
  <c r="F7" i="1"/>
  <c r="W6" i="1"/>
  <c r="V6" i="1"/>
  <c r="U6" i="1"/>
  <c r="T6" i="1"/>
  <c r="S6" i="1"/>
  <c r="R6" i="1"/>
  <c r="Q6" i="1"/>
  <c r="P6" i="1"/>
  <c r="O6" i="1"/>
  <c r="N6" i="1"/>
  <c r="M6" i="1"/>
  <c r="L6" i="1"/>
  <c r="H6" i="1"/>
  <c r="G6" i="1"/>
  <c r="D6" i="1"/>
  <c r="F6" i="1" s="1"/>
  <c r="Q3" i="1"/>
  <c r="T16" i="1" l="1"/>
  <c r="R35" i="1"/>
  <c r="E31" i="1"/>
  <c r="F31" i="1" s="1"/>
  <c r="I31" i="1"/>
  <c r="I33" i="1"/>
  <c r="E33" i="1"/>
  <c r="F33" i="1" s="1"/>
  <c r="I12" i="1"/>
  <c r="I16" i="1" s="1"/>
  <c r="E12" i="1"/>
  <c r="F12" i="1" s="1"/>
  <c r="E14" i="1"/>
  <c r="F14" i="1" s="1"/>
  <c r="I14" i="1"/>
  <c r="I24" i="1"/>
  <c r="I32" i="1"/>
  <c r="E32" i="1"/>
  <c r="F32" i="1" s="1"/>
  <c r="L16" i="1"/>
  <c r="M16" i="1"/>
  <c r="E13" i="1"/>
  <c r="F13" i="1" s="1"/>
  <c r="I13" i="1"/>
  <c r="O16" i="1"/>
  <c r="L35" i="1"/>
  <c r="I26" i="1"/>
  <c r="E26" i="1"/>
  <c r="F26" i="1" s="1"/>
  <c r="P16" i="1"/>
  <c r="I27" i="1"/>
  <c r="E27" i="1"/>
  <c r="F27" i="1" s="1"/>
  <c r="R16" i="1"/>
  <c r="S16" i="1"/>
  <c r="I21" i="1"/>
  <c r="E21" i="1"/>
  <c r="F21" i="1" s="1"/>
  <c r="E28" i="1"/>
  <c r="F28" i="1" s="1"/>
  <c r="I28" i="1"/>
  <c r="I29" i="1"/>
  <c r="E29" i="1"/>
  <c r="F29" i="1" s="1"/>
  <c r="I25" i="1"/>
  <c r="H16" i="1"/>
  <c r="E30" i="1"/>
  <c r="F30" i="1" s="1"/>
  <c r="E15" i="1"/>
  <c r="F15" i="1" s="1"/>
  <c r="I18" i="1"/>
  <c r="E20" i="1"/>
  <c r="F20" i="1" s="1"/>
  <c r="I34" i="1"/>
  <c r="E23" i="1"/>
  <c r="F23" i="1" s="1"/>
  <c r="E11" i="1"/>
  <c r="F11" i="1" s="1"/>
  <c r="P153" i="1"/>
  <c r="H35" i="1"/>
  <c r="U153" i="1"/>
  <c r="I35" i="1" l="1"/>
</calcChain>
</file>

<file path=xl/sharedStrings.xml><?xml version="1.0" encoding="utf-8"?>
<sst xmlns="http://schemas.openxmlformats.org/spreadsheetml/2006/main" count="463" uniqueCount="238">
  <si>
    <t>Weekly Utilization</t>
  </si>
  <si>
    <t>Billable Hours</t>
  </si>
  <si>
    <t>QTR &amp; YTD Utilization</t>
  </si>
  <si>
    <t>Two Week Harvest Forecast</t>
  </si>
  <si>
    <t>Beginning of Week Harvest Forecast</t>
  </si>
  <si>
    <t>Actual Hours</t>
  </si>
  <si>
    <t>Actual vs. Forecast Variance</t>
  </si>
  <si>
    <t>Total Hours</t>
  </si>
  <si>
    <t>Target</t>
  </si>
  <si>
    <t>Actual</t>
  </si>
  <si>
    <t>Target vs. Actual</t>
  </si>
  <si>
    <t>Non Billable Hours</t>
  </si>
  <si>
    <t>Quarter to Date</t>
  </si>
  <si>
    <t>Year to Date</t>
  </si>
  <si>
    <t>Backlog</t>
  </si>
  <si>
    <t>Pipeline &amp; At Risk</t>
  </si>
  <si>
    <t>Acct. Dev</t>
  </si>
  <si>
    <t>Internal Inv. Proj.</t>
  </si>
  <si>
    <t>PTO/Hol. Train. Shadow</t>
  </si>
  <si>
    <t>Grand Total - Employees and Contractors</t>
  </si>
  <si>
    <t>Total - Employees Only</t>
  </si>
  <si>
    <t>Harvest Fcst Name</t>
  </si>
  <si>
    <t>Function</t>
  </si>
  <si>
    <t>Title</t>
  </si>
  <si>
    <t>By Title</t>
  </si>
  <si>
    <t>Avail Hrs</t>
  </si>
  <si>
    <t>Headcount</t>
  </si>
  <si>
    <t>Wtd Target</t>
  </si>
  <si>
    <t>CMC</t>
  </si>
  <si>
    <t>Client Partner</t>
  </si>
  <si>
    <t>Delivery Management</t>
  </si>
  <si>
    <t>Engineering</t>
  </si>
  <si>
    <t>Solution Architecture</t>
  </si>
  <si>
    <t>Total</t>
  </si>
  <si>
    <t xml:space="preserve">Architect </t>
  </si>
  <si>
    <t>Cloud Business Analyst</t>
  </si>
  <si>
    <t>Cloud Transformation Lead</t>
  </si>
  <si>
    <t>CMC Engineer (1)</t>
  </si>
  <si>
    <t>CMC Engineer (2)</t>
  </si>
  <si>
    <t>CMC Lead</t>
  </si>
  <si>
    <t>Delivery Director</t>
  </si>
  <si>
    <t>Delivery Manager</t>
  </si>
  <si>
    <t>Director of Cloud Transformation</t>
  </si>
  <si>
    <t>Director of Delivery Management</t>
  </si>
  <si>
    <t>Engineer (1)</t>
  </si>
  <si>
    <t>Engineer (2)</t>
  </si>
  <si>
    <t>Engineer (3)</t>
  </si>
  <si>
    <t>Manager of Solution Architecture</t>
  </si>
  <si>
    <t>Senior Engineer</t>
  </si>
  <si>
    <t>Solution Architect</t>
  </si>
  <si>
    <t>By Team and Person</t>
  </si>
  <si>
    <t>First Name</t>
  </si>
  <si>
    <t>Last Name</t>
  </si>
  <si>
    <t>Glenn</t>
  </si>
  <si>
    <t>Mate</t>
  </si>
  <si>
    <t>Brent</t>
  </si>
  <si>
    <t>Clements</t>
  </si>
  <si>
    <t>Ray</t>
  </si>
  <si>
    <t>Crawford</t>
  </si>
  <si>
    <t>Colin</t>
  </si>
  <si>
    <t>Dembovsky</t>
  </si>
  <si>
    <t>Ryan</t>
  </si>
  <si>
    <t>Gonzalez</t>
  </si>
  <si>
    <t>Matt</t>
  </si>
  <si>
    <t>Park</t>
  </si>
  <si>
    <t>Scott</t>
  </si>
  <si>
    <t>Thomas</t>
  </si>
  <si>
    <t>Team Nate</t>
  </si>
  <si>
    <t>Nate</t>
  </si>
  <si>
    <t>Burleson</t>
  </si>
  <si>
    <t>Jonathan</t>
  </si>
  <si>
    <t>Bradshaw</t>
  </si>
  <si>
    <t>Drake</t>
  </si>
  <si>
    <t>Fisher</t>
  </si>
  <si>
    <t>Demetri</t>
  </si>
  <si>
    <t>Maltsiniotis</t>
  </si>
  <si>
    <t>John</t>
  </si>
  <si>
    <t>Ozarchuk</t>
  </si>
  <si>
    <t>Parth</t>
  </si>
  <si>
    <t>Thakkar</t>
  </si>
  <si>
    <t>Shad</t>
  </si>
  <si>
    <t>Timm</t>
  </si>
  <si>
    <t>Team Larry</t>
  </si>
  <si>
    <t>Lawrence</t>
  </si>
  <si>
    <t>Mulligan</t>
  </si>
  <si>
    <t>Peter</t>
  </si>
  <si>
    <t>Grace</t>
  </si>
  <si>
    <t>Yassine</t>
  </si>
  <si>
    <t>Ibrahimi</t>
  </si>
  <si>
    <t>Mencel</t>
  </si>
  <si>
    <t>Carlos</t>
  </si>
  <si>
    <t>Nunez</t>
  </si>
  <si>
    <t>Reynolds</t>
  </si>
  <si>
    <t>Saliano</t>
  </si>
  <si>
    <t>Team Chris Nagel</t>
  </si>
  <si>
    <t>Chris</t>
  </si>
  <si>
    <t>Nagel</t>
  </si>
  <si>
    <t>Jennifer</t>
  </si>
  <si>
    <t>Hajduk</t>
  </si>
  <si>
    <t>Caleb</t>
  </si>
  <si>
    <t>Herbison</t>
  </si>
  <si>
    <t>Joe</t>
  </si>
  <si>
    <t>Kostovich</t>
  </si>
  <si>
    <t>Laird</t>
  </si>
  <si>
    <t>Rivera</t>
  </si>
  <si>
    <t>Erlin</t>
  </si>
  <si>
    <t>Tego</t>
  </si>
  <si>
    <t>Team David Smith</t>
  </si>
  <si>
    <t>David</t>
  </si>
  <si>
    <t>Smith</t>
  </si>
  <si>
    <t>Kristopher</t>
  </si>
  <si>
    <t>Brinkley</t>
  </si>
  <si>
    <t>Aaron</t>
  </si>
  <si>
    <t>Fields</t>
  </si>
  <si>
    <t>Josh</t>
  </si>
  <si>
    <t>Franzen</t>
  </si>
  <si>
    <t>Arturo</t>
  </si>
  <si>
    <t>Martinez</t>
  </si>
  <si>
    <t>Mike</t>
  </si>
  <si>
    <t>Schulz</t>
  </si>
  <si>
    <t>Shaw</t>
  </si>
  <si>
    <t>Team John Wildes</t>
  </si>
  <si>
    <t>Wildes</t>
  </si>
  <si>
    <t>Anthony</t>
  </si>
  <si>
    <t>Budd</t>
  </si>
  <si>
    <t>Brad</t>
  </si>
  <si>
    <t>Householder</t>
  </si>
  <si>
    <t>Jorge</t>
  </si>
  <si>
    <t>Morales</t>
  </si>
  <si>
    <t>Evan</t>
  </si>
  <si>
    <t>Nondorf</t>
  </si>
  <si>
    <t>Daniel</t>
  </si>
  <si>
    <t>Oh</t>
  </si>
  <si>
    <t>Marquis</t>
  </si>
  <si>
    <t>Wynne</t>
  </si>
  <si>
    <t>Team Mark Hanson</t>
  </si>
  <si>
    <t>Mark</t>
  </si>
  <si>
    <t>Hanson</t>
  </si>
  <si>
    <t>Mason</t>
  </si>
  <si>
    <t>Adams</t>
  </si>
  <si>
    <t>Marshall</t>
  </si>
  <si>
    <t>Choate</t>
  </si>
  <si>
    <t>Kyle</t>
  </si>
  <si>
    <t>Dougherty</t>
  </si>
  <si>
    <t>Angel</t>
  </si>
  <si>
    <t>Garcia</t>
  </si>
  <si>
    <t>Martin</t>
  </si>
  <si>
    <t>Lee</t>
  </si>
  <si>
    <t>Braiton</t>
  </si>
  <si>
    <t>Mendoza</t>
  </si>
  <si>
    <t>Zuniga</t>
  </si>
  <si>
    <t>Perry</t>
  </si>
  <si>
    <t>Mat</t>
  </si>
  <si>
    <t>Coulombe</t>
  </si>
  <si>
    <t>Michael</t>
  </si>
  <si>
    <t>de Groot</t>
  </si>
  <si>
    <t>Garverick</t>
  </si>
  <si>
    <t>Jed</t>
  </si>
  <si>
    <t>Harbach</t>
  </si>
  <si>
    <t>Ron</t>
  </si>
  <si>
    <t>Henderson</t>
  </si>
  <si>
    <t>Russ</t>
  </si>
  <si>
    <t>Tom</t>
  </si>
  <si>
    <t>Jaskula</t>
  </si>
  <si>
    <t>Brandon</t>
  </si>
  <si>
    <t>Stephenson</t>
  </si>
  <si>
    <t>Dan</t>
  </si>
  <si>
    <t>Wood</t>
  </si>
  <si>
    <t>TBD</t>
  </si>
  <si>
    <t>Joshua</t>
  </si>
  <si>
    <t>Johanning</t>
  </si>
  <si>
    <t>Nunham</t>
  </si>
  <si>
    <t>Pecor</t>
  </si>
  <si>
    <t>Curt</t>
  </si>
  <si>
    <t>Raburn</t>
  </si>
  <si>
    <t>Christopher</t>
  </si>
  <si>
    <t>Witcher</t>
  </si>
  <si>
    <t>Team McClish</t>
  </si>
  <si>
    <t>McClish</t>
  </si>
  <si>
    <t>Jean</t>
  </si>
  <si>
    <t>Gold</t>
  </si>
  <si>
    <t>Christine</t>
  </si>
  <si>
    <t>Hanlon</t>
  </si>
  <si>
    <t>Courtney</t>
  </si>
  <si>
    <t>House</t>
  </si>
  <si>
    <t>Jim</t>
  </si>
  <si>
    <t>Jung</t>
  </si>
  <si>
    <t>Kat</t>
  </si>
  <si>
    <t>Lawson</t>
  </si>
  <si>
    <t>Akash</t>
  </si>
  <si>
    <t>Malhotra</t>
  </si>
  <si>
    <t>Eddie</t>
  </si>
  <si>
    <t>Monroe</t>
  </si>
  <si>
    <t>Byron</t>
  </si>
  <si>
    <t>Neal</t>
  </si>
  <si>
    <t>Natalie</t>
  </si>
  <si>
    <t>Psarros</t>
  </si>
  <si>
    <t>Stoeckle</t>
  </si>
  <si>
    <t>Madeline</t>
  </si>
  <si>
    <t>Kavooras</t>
  </si>
  <si>
    <t>Gary</t>
  </si>
  <si>
    <t>Shlahtichman</t>
  </si>
  <si>
    <t>Sarah</t>
  </si>
  <si>
    <t>Winchester</t>
  </si>
  <si>
    <t>Client Partners</t>
  </si>
  <si>
    <t>Jimmy</t>
  </si>
  <si>
    <t>Cordy</t>
  </si>
  <si>
    <t>MaryCarol</t>
  </si>
  <si>
    <t>Dolivier</t>
  </si>
  <si>
    <t>Rehan</t>
  </si>
  <si>
    <t>Iqbal</t>
  </si>
  <si>
    <t>Others with Billable Hours / Not Assigned</t>
  </si>
  <si>
    <t>Contractors</t>
  </si>
  <si>
    <t>Sadiq</t>
  </si>
  <si>
    <t>Ahmed</t>
  </si>
  <si>
    <t>n/a</t>
  </si>
  <si>
    <t>Eli</t>
  </si>
  <si>
    <t>Brown</t>
  </si>
  <si>
    <t>Jeremy</t>
  </si>
  <si>
    <t>Corbello</t>
  </si>
  <si>
    <t>Sharle</t>
  </si>
  <si>
    <t>Dille</t>
  </si>
  <si>
    <t>Mohammad</t>
  </si>
  <si>
    <t>Ghouri</t>
  </si>
  <si>
    <t>Santosh</t>
  </si>
  <si>
    <t>Poudyal</t>
  </si>
  <si>
    <t>Forecast Placeholders</t>
  </si>
  <si>
    <t>10M Contractor - Application Engineer</t>
  </si>
  <si>
    <t>10M Contractor - Business Analyst</t>
  </si>
  <si>
    <t>CMC Pool User</t>
  </si>
  <si>
    <t>10M Cloud App Architect</t>
  </si>
  <si>
    <t>10M Cloud Engineer</t>
  </si>
  <si>
    <t>10M Delivery Manager</t>
  </si>
  <si>
    <t>10M Cloud Business Analyst</t>
  </si>
  <si>
    <t>Grand Total Hours</t>
  </si>
  <si>
    <t>Available Employee Hours</t>
  </si>
  <si>
    <t>Employee Utilization</t>
  </si>
  <si>
    <t>Employee Utilization Excluding PTO/Conf./Etc.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</si>
</sst>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%"/>
    <numFmt numFmtId="165" formatCode="&quot;Week of&quot;\ m/d/yyyy&quot;:&quot;"/>
    <numFmt numFmtId="166" formatCode="&quot;Week of&quot;\ m/d/yy\ &quot;Non Billable Hours&quot;"/>
    <numFmt numFmtId="167" formatCode="&quot;Week of&quot;\ m/d/yy"/>
    <numFmt numFmtId="168" formatCode="&quot;Week of&quot;\ m/d/yy\ &quot;Results&quot;"/>
    <numFmt numFmtId="169" formatCode="_(* #,##0_);_(* \(#,##0\);_(* &quot;-&quot;??_);_(@_)"/>
    <numFmt numFmtId="170" formatCode="0.0%\ ;\(0.0%\)"/>
    <numFmt numFmtId="171" formatCode="_(* #,##0.0_);_(* \(#,##0.0\);_(* &quot;-&quot;??_);_(@_)"/>
    <numFmt numFmtId="172" formatCode="#,##0.0_);[Red]\(#,##0.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 val="singleAccounting"/>
      <sz val="9"/>
      <color theme="0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b/>
      <u val="singleAccounting"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 val="singleAccounting"/>
      <sz val="9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/>
      <top style="thick">
        <color auto="1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</cellStyleXfs>
  <cellXfs count="183">
    <xf numFmtId="0" fontId="0" fillId="0" borderId="0" xfId="0"/>
    <xf numFmtId="165" fontId="5" fillId="2" borderId="0" xfId="0" applyNumberFormat="1" applyFont="1" applyFill="1" applyAlignment="1">
      <alignment horizontal="left"/>
    </xf>
    <xf numFmtId="0" fontId="1" fillId="0" borderId="0" xfId="0" applyFont="1"/>
    <xf numFmtId="166" fontId="6" fillId="0" borderId="3" xfId="0" applyNumberFormat="1" applyFont="1" applyBorder="1" applyAlignment="1">
      <alignment horizontal="center"/>
    </xf>
    <xf numFmtId="14" fontId="1" fillId="0" borderId="0" xfId="0" applyNumberFormat="1" applyFont="1"/>
    <xf numFmtId="168" fontId="7" fillId="2" borderId="0" xfId="0" applyNumberFormat="1" applyFont="1" applyFill="1" applyAlignment="1">
      <alignment horizontal="center"/>
    </xf>
    <xf numFmtId="169" fontId="8" fillId="0" borderId="0" xfId="1" applyNumberFormat="1" applyFont="1" applyAlignment="1">
      <alignment horizontal="center"/>
    </xf>
    <xf numFmtId="165" fontId="5" fillId="2" borderId="1" xfId="0" applyNumberFormat="1" applyFont="1" applyFill="1" applyBorder="1" applyAlignment="1">
      <alignment horizontal="left"/>
    </xf>
    <xf numFmtId="0" fontId="9" fillId="2" borderId="0" xfId="0" applyFont="1" applyFill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6" fillId="3" borderId="0" xfId="0" applyFont="1" applyFill="1"/>
    <xf numFmtId="0" fontId="3" fillId="3" borderId="0" xfId="0" applyFont="1" applyFill="1"/>
    <xf numFmtId="0" fontId="3" fillId="3" borderId="1" xfId="0" applyFont="1" applyFill="1" applyBorder="1"/>
    <xf numFmtId="9" fontId="8" fillId="3" borderId="2" xfId="2" applyFont="1" applyFill="1" applyBorder="1"/>
    <xf numFmtId="164" fontId="8" fillId="3" borderId="0" xfId="2" applyNumberFormat="1" applyFont="1" applyFill="1"/>
    <xf numFmtId="170" fontId="8" fillId="3" borderId="1" xfId="2" applyNumberFormat="1" applyFont="1" applyFill="1" applyBorder="1"/>
    <xf numFmtId="169" fontId="8" fillId="3" borderId="2" xfId="1" applyNumberFormat="1" applyFont="1" applyFill="1" applyBorder="1"/>
    <xf numFmtId="169" fontId="8" fillId="3" borderId="0" xfId="1" applyNumberFormat="1" applyFont="1" applyFill="1"/>
    <xf numFmtId="169" fontId="8" fillId="3" borderId="1" xfId="1" applyNumberFormat="1" applyFont="1" applyFill="1" applyBorder="1"/>
    <xf numFmtId="169" fontId="8" fillId="3" borderId="0" xfId="1" applyNumberFormat="1" applyFont="1" applyFill="1" applyBorder="1"/>
    <xf numFmtId="171" fontId="8" fillId="3" borderId="2" xfId="1" applyNumberFormat="1" applyFont="1" applyFill="1" applyBorder="1"/>
    <xf numFmtId="171" fontId="12" fillId="0" borderId="0" xfId="1" applyNumberFormat="1" applyFont="1"/>
    <xf numFmtId="171" fontId="8" fillId="3" borderId="0" xfId="1" applyNumberFormat="1" applyFont="1" applyFill="1"/>
    <xf numFmtId="164" fontId="8" fillId="3" borderId="2" xfId="2" applyNumberFormat="1" applyFont="1" applyFill="1" applyBorder="1"/>
    <xf numFmtId="164" fontId="8" fillId="3" borderId="1" xfId="2" applyNumberFormat="1" applyFont="1" applyFill="1" applyBorder="1"/>
    <xf numFmtId="169" fontId="8" fillId="0" borderId="0" xfId="1" applyNumberFormat="1" applyFont="1"/>
    <xf numFmtId="1" fontId="1" fillId="0" borderId="0" xfId="0" applyNumberFormat="1" applyFont="1"/>
    <xf numFmtId="0" fontId="13" fillId="0" borderId="0" xfId="0" applyFont="1" applyAlignment="1">
      <alignment horizontal="center"/>
    </xf>
    <xf numFmtId="9" fontId="15" fillId="0" borderId="7" xfId="0" applyNumberFormat="1" applyFont="1" applyBorder="1"/>
    <xf numFmtId="164" fontId="15" fillId="0" borderId="6" xfId="2" applyNumberFormat="1" applyFont="1" applyBorder="1"/>
    <xf numFmtId="170" fontId="15" fillId="0" borderId="8" xfId="0" applyNumberFormat="1" applyFont="1" applyBorder="1"/>
    <xf numFmtId="171" fontId="15" fillId="0" borderId="7" xfId="1" applyNumberFormat="1" applyFont="1" applyBorder="1"/>
    <xf numFmtId="171" fontId="15" fillId="0" borderId="6" xfId="1" applyNumberFormat="1" applyFont="1" applyBorder="1"/>
    <xf numFmtId="172" fontId="15" fillId="0" borderId="6" xfId="1" applyNumberFormat="1" applyFont="1" applyBorder="1"/>
    <xf numFmtId="171" fontId="16" fillId="0" borderId="6" xfId="1" applyNumberFormat="1" applyFont="1" applyBorder="1"/>
    <xf numFmtId="171" fontId="12" fillId="0" borderId="6" xfId="1" applyNumberFormat="1" applyFont="1" applyBorder="1"/>
    <xf numFmtId="164" fontId="15" fillId="0" borderId="7" xfId="2" applyNumberFormat="1" applyFont="1" applyBorder="1"/>
    <xf numFmtId="164" fontId="15" fillId="0" borderId="8" xfId="2" applyNumberFormat="1" applyFont="1" applyBorder="1"/>
    <xf numFmtId="0" fontId="1" fillId="0" borderId="6" xfId="0" applyFont="1" applyBorder="1"/>
    <xf numFmtId="169" fontId="15" fillId="0" borderId="6" xfId="1" applyNumberFormat="1" applyFont="1" applyBorder="1"/>
    <xf numFmtId="0" fontId="15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9" fontId="18" fillId="0" borderId="2" xfId="0" applyNumberFormat="1" applyFont="1" applyBorder="1" applyAlignment="1">
      <alignment horizontal="center" wrapText="1"/>
    </xf>
    <xf numFmtId="164" fontId="15" fillId="0" borderId="0" xfId="2" applyNumberFormat="1" applyFont="1"/>
    <xf numFmtId="170" fontId="15" fillId="0" borderId="1" xfId="0" applyNumberFormat="1" applyFont="1" applyBorder="1"/>
    <xf numFmtId="171" fontId="15" fillId="0" borderId="2" xfId="1" applyNumberFormat="1" applyFont="1" applyBorder="1"/>
    <xf numFmtId="171" fontId="15" fillId="0" borderId="0" xfId="1" applyNumberFormat="1" applyFont="1"/>
    <xf numFmtId="172" fontId="15" fillId="0" borderId="0" xfId="1" applyNumberFormat="1" applyFont="1"/>
    <xf numFmtId="171" fontId="16" fillId="0" borderId="0" xfId="1" applyNumberFormat="1" applyFont="1"/>
    <xf numFmtId="164" fontId="15" fillId="0" borderId="2" xfId="2" applyNumberFormat="1" applyFont="1" applyBorder="1"/>
    <xf numFmtId="164" fontId="15" fillId="0" borderId="1" xfId="2" applyNumberFormat="1" applyFont="1" applyBorder="1"/>
    <xf numFmtId="169" fontId="15" fillId="0" borderId="0" xfId="1" applyNumberFormat="1" applyFont="1"/>
    <xf numFmtId="0" fontId="15" fillId="0" borderId="0" xfId="0" applyFont="1" applyAlignment="1">
      <alignment horizontal="left"/>
    </xf>
    <xf numFmtId="9" fontId="15" fillId="0" borderId="2" xfId="0" applyNumberFormat="1" applyFont="1" applyBorder="1"/>
    <xf numFmtId="169" fontId="15" fillId="0" borderId="2" xfId="1" applyNumberFormat="1" applyFont="1" applyBorder="1"/>
    <xf numFmtId="164" fontId="1" fillId="0" borderId="0" xfId="2" applyNumberFormat="1" applyFont="1"/>
    <xf numFmtId="0" fontId="6" fillId="0" borderId="0" xfId="0" applyFont="1" applyAlignment="1">
      <alignment horizontal="left"/>
    </xf>
    <xf numFmtId="169" fontId="8" fillId="0" borderId="9" xfId="1" applyNumberFormat="1" applyFont="1" applyBorder="1"/>
    <xf numFmtId="171" fontId="8" fillId="0" borderId="9" xfId="1" applyNumberFormat="1" applyFont="1" applyBorder="1"/>
    <xf numFmtId="9" fontId="8" fillId="0" borderId="2" xfId="0" applyNumberFormat="1" applyFont="1" applyBorder="1"/>
    <xf numFmtId="164" fontId="8" fillId="0" borderId="0" xfId="2" applyNumberFormat="1" applyFont="1"/>
    <xf numFmtId="170" fontId="8" fillId="0" borderId="1" xfId="0" applyNumberFormat="1" applyFont="1" applyBorder="1"/>
    <xf numFmtId="169" fontId="8" fillId="0" borderId="10" xfId="1" applyNumberFormat="1" applyFont="1" applyBorder="1"/>
    <xf numFmtId="169" fontId="8" fillId="0" borderId="11" xfId="1" applyNumberFormat="1" applyFont="1" applyBorder="1"/>
    <xf numFmtId="171" fontId="8" fillId="0" borderId="10" xfId="1" applyNumberFormat="1" applyFont="1" applyBorder="1"/>
    <xf numFmtId="171" fontId="12" fillId="0" borderId="11" xfId="1" applyNumberFormat="1" applyFont="1" applyBorder="1"/>
    <xf numFmtId="171" fontId="8" fillId="0" borderId="11" xfId="1" applyNumberFormat="1" applyFont="1" applyBorder="1"/>
    <xf numFmtId="164" fontId="8" fillId="0" borderId="2" xfId="2" applyNumberFormat="1" applyFont="1" applyBorder="1"/>
    <xf numFmtId="164" fontId="8" fillId="0" borderId="1" xfId="2" applyNumberFormat="1" applyFont="1" applyBorder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169" fontId="8" fillId="0" borderId="0" xfId="2" applyNumberFormat="1" applyFont="1"/>
    <xf numFmtId="164" fontId="12" fillId="0" borderId="0" xfId="2" applyNumberFormat="1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15" fillId="0" borderId="7" xfId="0" applyNumberFormat="1" applyFont="1" applyBorder="1" applyAlignment="1">
      <alignment horizontal="center" vertical="top"/>
    </xf>
    <xf numFmtId="164" fontId="8" fillId="0" borderId="6" xfId="2" applyNumberFormat="1" applyFont="1" applyBorder="1"/>
    <xf numFmtId="9" fontId="15" fillId="0" borderId="8" xfId="0" applyNumberFormat="1" applyFont="1" applyBorder="1" applyAlignment="1">
      <alignment horizontal="center" vertical="top"/>
    </xf>
    <xf numFmtId="171" fontId="8" fillId="0" borderId="7" xfId="1" applyNumberFormat="1" applyFont="1" applyBorder="1"/>
    <xf numFmtId="171" fontId="8" fillId="0" borderId="6" xfId="1" applyNumberFormat="1" applyFont="1" applyBorder="1"/>
    <xf numFmtId="171" fontId="6" fillId="0" borderId="7" xfId="1" applyNumberFormat="1" applyFont="1" applyBorder="1"/>
    <xf numFmtId="171" fontId="19" fillId="0" borderId="6" xfId="1" applyNumberFormat="1" applyFont="1" applyBorder="1"/>
    <xf numFmtId="171" fontId="6" fillId="0" borderId="6" xfId="1" applyNumberFormat="1" applyFont="1" applyBorder="1"/>
    <xf numFmtId="164" fontId="8" fillId="0" borderId="7" xfId="2" applyNumberFormat="1" applyFont="1" applyBorder="1"/>
    <xf numFmtId="164" fontId="8" fillId="0" borderId="8" xfId="2" applyNumberFormat="1" applyFont="1" applyBorder="1"/>
    <xf numFmtId="0" fontId="10" fillId="0" borderId="0" xfId="0" applyFont="1" applyAlignment="1">
      <alignment horizontal="center"/>
    </xf>
    <xf numFmtId="9" fontId="15" fillId="0" borderId="2" xfId="0" applyNumberFormat="1" applyFont="1" applyBorder="1" applyAlignment="1">
      <alignment horizontal="center" vertical="top"/>
    </xf>
    <xf numFmtId="9" fontId="15" fillId="0" borderId="1" xfId="0" applyNumberFormat="1" applyFont="1" applyBorder="1" applyAlignment="1">
      <alignment horizontal="center" vertical="top"/>
    </xf>
    <xf numFmtId="171" fontId="6" fillId="0" borderId="2" xfId="1" applyNumberFormat="1" applyFont="1" applyBorder="1"/>
    <xf numFmtId="171" fontId="19" fillId="0" borderId="0" xfId="1" applyNumberFormat="1" applyFont="1"/>
    <xf numFmtId="171" fontId="6" fillId="0" borderId="0" xfId="1" applyNumberFormat="1" applyFont="1"/>
    <xf numFmtId="169" fontId="3" fillId="0" borderId="0" xfId="1" applyNumberFormat="1" applyFont="1"/>
    <xf numFmtId="9" fontId="15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15" fillId="0" borderId="0" xfId="3" applyFont="1" applyAlignment="1">
      <alignment horizontal="left" vertical="top"/>
    </xf>
    <xf numFmtId="0" fontId="15" fillId="0" borderId="1" xfId="3" applyFont="1" applyBorder="1" applyAlignment="1">
      <alignment horizontal="left" vertical="top"/>
    </xf>
    <xf numFmtId="9" fontId="15" fillId="0" borderId="0" xfId="2" applyFont="1"/>
    <xf numFmtId="169" fontId="15" fillId="0" borderId="0" xfId="1" applyNumberFormat="1" applyFont="1" applyFill="1" applyAlignment="1">
      <alignment horizontal="left" vertical="top"/>
    </xf>
    <xf numFmtId="169" fontId="15" fillId="0" borderId="0" xfId="1" applyNumberFormat="1" applyFont="1" applyAlignment="1">
      <alignment vertical="top"/>
    </xf>
    <xf numFmtId="169" fontId="15" fillId="0" borderId="0" xfId="1" applyNumberFormat="1" applyFont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9" fontId="15" fillId="0" borderId="2" xfId="3" applyNumberFormat="1" applyFont="1" applyBorder="1"/>
    <xf numFmtId="169" fontId="15" fillId="0" borderId="0" xfId="1" applyNumberFormat="1" applyFont="1" applyFill="1" applyAlignment="1">
      <alignment vertical="top"/>
    </xf>
    <xf numFmtId="0" fontId="17" fillId="0" borderId="0" xfId="0" applyFont="1"/>
    <xf numFmtId="9" fontId="15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9" fontId="15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9" fontId="15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9" fontId="8" fillId="0" borderId="12" xfId="1" applyNumberFormat="1" applyFont="1" applyBorder="1"/>
    <xf numFmtId="169" fontId="8" fillId="0" borderId="13" xfId="1" applyNumberFormat="1" applyFont="1" applyBorder="1"/>
    <xf numFmtId="171" fontId="8" fillId="0" borderId="12" xfId="1" applyNumberFormat="1" applyFont="1" applyBorder="1"/>
    <xf numFmtId="171" fontId="12" fillId="0" borderId="9" xfId="1" applyNumberFormat="1" applyFont="1" applyBorder="1"/>
    <xf numFmtId="0" fontId="1" fillId="0" borderId="2" xfId="0" applyFont="1" applyBorder="1"/>
    <xf numFmtId="0" fontId="1" fillId="0" borderId="14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69" fontId="8" fillId="0" borderId="2" xfId="1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12" fillId="0" borderId="0" xfId="1" applyFont="1"/>
    <xf numFmtId="0" fontId="2" fillId="0" borderId="0" xfId="0" applyFont="1" applyAlignment="1">
      <alignment horizontal="center"/>
    </xf>
    <xf numFmtId="171" fontId="15" fillId="0" borderId="1" xfId="1" applyNumberFormat="1" applyFont="1" applyBorder="1"/>
    <xf numFmtId="0" fontId="8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164" fontId="8" fillId="0" borderId="0" xfId="2" applyNumberFormat="1" applyFont="1" applyBorder="1"/>
    <xf numFmtId="0" fontId="6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164" fontId="8" fillId="0" borderId="16" xfId="2" applyNumberFormat="1" applyFont="1" applyBorder="1"/>
    <xf numFmtId="164" fontId="8" fillId="0" borderId="15" xfId="2" applyNumberFormat="1" applyFont="1" applyBorder="1"/>
    <xf numFmtId="164" fontId="8" fillId="0" borderId="17" xfId="2" applyNumberFormat="1" applyFont="1" applyBorder="1"/>
    <xf numFmtId="9" fontId="8" fillId="0" borderId="15" xfId="2" applyFont="1" applyBorder="1"/>
    <xf numFmtId="164" fontId="12" fillId="0" borderId="15" xfId="2" applyNumberFormat="1" applyFont="1" applyBorder="1"/>
    <xf numFmtId="0" fontId="4" fillId="0" borderId="15" xfId="0" applyFont="1" applyBorder="1" applyAlignment="1">
      <alignment horizontal="center"/>
    </xf>
    <xf numFmtId="171" fontId="15" fillId="0" borderId="17" xfId="1" applyNumberFormat="1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4" fillId="0" borderId="6" xfId="0" applyFont="1" applyBorder="1"/>
    <xf numFmtId="0" fontId="17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9" fillId="2" borderId="0" xfId="0" applyFont="1" applyFill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167" fontId="11" fillId="2" borderId="2" xfId="0" applyNumberFormat="1" applyFont="1" applyFill="1" applyBorder="1" applyAlignment="1">
      <alignment horizontal="center" wrapText="1"/>
    </xf>
    <xf numFmtId="167" fontId="11" fillId="2" borderId="0" xfId="0" applyNumberFormat="1" applyFont="1" applyFill="1" applyAlignment="1">
      <alignment horizontal="center" wrapText="1"/>
    </xf>
    <xf numFmtId="167" fontId="11" fillId="2" borderId="4" xfId="0" applyNumberFormat="1" applyFont="1" applyFill="1" applyBorder="1" applyAlignment="1">
      <alignment horizontal="center" wrapText="1"/>
    </xf>
    <xf numFmtId="167" fontId="11" fillId="2" borderId="5" xfId="0" applyNumberFormat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167" fontId="5" fillId="2" borderId="2" xfId="0" applyNumberFormat="1" applyFont="1" applyFill="1" applyBorder="1" applyAlignment="1">
      <alignment horizontal="center" wrapText="1"/>
    </xf>
    <xf numFmtId="167" fontId="5" fillId="2" borderId="0" xfId="0" applyNumberFormat="1" applyFont="1" applyFill="1" applyAlignment="1">
      <alignment horizontal="center" wrapText="1"/>
    </xf>
    <xf numFmtId="167" fontId="5" fillId="2" borderId="4" xfId="0" applyNumberFormat="1" applyFont="1" applyFill="1" applyBorder="1" applyAlignment="1">
      <alignment horizontal="center" wrapText="1"/>
    </xf>
    <xf numFmtId="167" fontId="5" fillId="2" borderId="5" xfId="0" applyNumberFormat="1" applyFont="1" applyFill="1" applyBorder="1" applyAlignment="1">
      <alignment horizontal="center" wrapText="1"/>
    </xf>
    <xf numFmtId="167" fontId="5" fillId="2" borderId="1" xfId="0" applyNumberFormat="1" applyFont="1" applyFill="1" applyBorder="1" applyAlignment="1">
      <alignment horizontal="center" wrapText="1"/>
    </xf>
    <xf numFmtId="169" fontId="10" fillId="0" borderId="0" xfId="1" applyNumberFormat="1" applyFont="1" applyAlignment="1">
      <alignment horizontal="center" wrapText="1"/>
    </xf>
    <xf numFmtId="167" fontId="11" fillId="2" borderId="1" xfId="0" applyNumberFormat="1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165" fontId="5" fillId="2" borderId="0" xfId="0" applyNumberFormat="1" applyFont="1" applyFill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167" fontId="7" fillId="2" borderId="0" xfId="0" applyNumberFormat="1" applyFont="1" applyFill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168" fontId="7" fillId="2" borderId="2" xfId="0" applyNumberFormat="1" applyFont="1" applyFill="1" applyBorder="1" applyAlignment="1">
      <alignment horizontal="center"/>
    </xf>
    <xf numFmtId="168" fontId="7" fillId="2" borderId="0" xfId="0" applyNumberFormat="1" applyFont="1" applyFill="1" applyAlignment="1">
      <alignment horizontal="center"/>
    </xf>
    <xf numFmtId="168" fontId="7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7" fontId="7" fillId="2" borderId="2" xfId="0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3E1BF9F5-C258-4297-BB63-7F9A3DDE5530}"/>
    <cellStyle name="Percent" xfId="2" builtinId="5"/>
  </cellStyles>
  <dxfs count="1073"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numFmt numFmtId="164" formatCode="0.0%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4" formatCode="#,##0.0_);\(#,##0.0\)"/>
      <fill>
        <patternFill>
          <bgColor theme="5"/>
        </patternFill>
      </fill>
    </dxf>
    <dxf>
      <font>
        <color theme="0"/>
      </font>
      <numFmt numFmtId="174" formatCode="#,##0.0_);\(#,##0.0\)"/>
      <fill>
        <patternFill>
          <bgColor theme="5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numFmt numFmtId="164" formatCode="0.0%"/>
    </dxf>
    <dxf>
      <font>
        <color theme="0"/>
      </font>
      <numFmt numFmtId="164" formatCode="0.0%"/>
      <fill>
        <patternFill>
          <bgColor theme="5"/>
        </patternFill>
      </fill>
    </dxf>
    <dxf>
      <font>
        <color theme="0"/>
      </font>
      <numFmt numFmtId="164" formatCode="0.0%"/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numFmt numFmtId="173" formatCode="0.0"/>
      <fill>
        <patternFill>
          <bgColor rgb="FF0078A2"/>
        </patternFill>
      </fill>
    </dxf>
    <dxf>
      <font>
        <color theme="0"/>
      </font>
      <numFmt numFmtId="173" formatCode="0.0"/>
      <fill>
        <patternFill>
          <bgColor rgb="FF1BC2E3"/>
        </patternFill>
      </fill>
    </dxf>
    <dxf>
      <font>
        <color theme="0"/>
      </font>
      <numFmt numFmtId="173" formatCode="0.0"/>
      <fill>
        <patternFill>
          <bgColor rgb="FFB752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33CC33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1</xdr:row>
      <xdr:rowOff>15240</xdr:rowOff>
    </xdr:from>
    <xdr:to>
      <xdr:col>1</xdr:col>
      <xdr:colOff>566919</xdr:colOff>
      <xdr:row>4</xdr:row>
      <xdr:rowOff>79922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5C9C3-3879-4F89-B375-886BDE542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243840"/>
          <a:ext cx="1443219" cy="735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D442-5F50-4E0E-BC46-B95E8C4A4BC7}">
  <sheetPr>
    <tabColor theme="9"/>
  </sheetPr>
  <dimension ref="A1:AL155"/>
  <sheetViews>
    <sheetView tabSelected="1" workbookViewId="0">
      <pane ySplit="8" topLeftCell="A122" activePane="bottomLeft" state="frozen"/>
      <selection pane="bottomLeft" activeCell="G91" sqref="G91"/>
    </sheetView>
  </sheetViews>
  <sheetFormatPr defaultColWidth="8.85546875" defaultRowHeight="15" x14ac:dyDescent="0.25"/>
  <cols>
    <col min="1" max="1" width="20.7109375" style="2" customWidth="1"/>
    <col min="2" max="2" width="8.7109375" style="74" bestFit="1" customWidth="1"/>
    <col min="3" max="3" width="11.28515625" style="74" customWidth="1"/>
    <col min="4" max="4" width="5.42578125" style="74" customWidth="1"/>
    <col min="5" max="5" width="6.140625" style="74" bestFit="1" customWidth="1"/>
    <col min="6" max="6" width="6.7109375" style="74" customWidth="1"/>
    <col min="7" max="7" width="8.42578125" style="2" customWidth="1"/>
    <col min="8" max="8" width="7.85546875" style="2" customWidth="1"/>
    <col min="9" max="9" width="8" style="79" customWidth="1"/>
    <col min="10" max="11" width="8" style="79" hidden="1" customWidth="1"/>
    <col min="12" max="12" width="7.42578125" style="79" customWidth="1"/>
    <col min="13" max="13" width="9.7109375" style="79" customWidth="1"/>
    <col min="14" max="15" width="8.42578125" style="79" customWidth="1"/>
    <col min="16" max="16" width="10.5703125" style="79" customWidth="1"/>
    <col min="17" max="17" width="7.42578125" style="79" customWidth="1"/>
    <col min="18" max="18" width="10.5703125" style="79" customWidth="1"/>
    <col min="19" max="20" width="8.140625" style="79" customWidth="1"/>
    <col min="21" max="21" width="10.85546875" style="79" customWidth="1"/>
    <col min="22" max="23" width="10.28515625" style="79" customWidth="1"/>
    <col min="24" max="24" width="2.28515625" style="2" customWidth="1"/>
    <col min="25" max="25" width="8.85546875" style="96"/>
    <col min="26" max="26" width="2.85546875" style="2" customWidth="1"/>
    <col min="27" max="27" width="14.28515625" style="2" customWidth="1"/>
    <col min="28" max="28" width="2.5703125" style="2" customWidth="1"/>
    <col min="29" max="29" width="15.85546875" style="2" bestFit="1" customWidth="1"/>
    <col min="30" max="30" width="16.28515625" style="2" customWidth="1"/>
    <col min="31" max="31" width="8.85546875" style="2"/>
    <col min="32" max="32" width="15.5703125" style="2" bestFit="1" customWidth="1"/>
    <col min="33" max="36" width="8.85546875" style="2"/>
    <col min="37" max="37" width="17.28515625" style="2" bestFit="1" customWidth="1"/>
    <col min="38" max="38" width="25.28515625" style="2" bestFit="1" customWidth="1"/>
    <col min="39" max="16384" width="8.85546875" style="2"/>
  </cols>
  <sheetData>
    <row r="1" spans="1:30" ht="18.399999999999999" customHeight="1" x14ac:dyDescent="0.4">
      <c r="A1" s="1"/>
      <c r="B1" s="1"/>
      <c r="C1" s="1"/>
      <c r="D1" s="169" t="s">
        <v>0</v>
      </c>
      <c r="E1" s="169"/>
      <c r="F1" s="170"/>
      <c r="G1" s="171" t="s">
        <v>1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3"/>
      <c r="V1" s="171" t="s">
        <v>2</v>
      </c>
      <c r="W1" s="173"/>
      <c r="Y1" s="3"/>
      <c r="AA1" s="4"/>
    </row>
    <row r="2" spans="1:30" ht="17.100000000000001" customHeight="1" x14ac:dyDescent="0.4">
      <c r="A2" s="1"/>
      <c r="B2" s="1"/>
      <c r="C2" s="1"/>
      <c r="D2" s="174">
        <v>44107</v>
      </c>
      <c r="E2" s="174"/>
      <c r="F2" s="175"/>
      <c r="G2" s="176">
        <v>44107</v>
      </c>
      <c r="H2" s="177"/>
      <c r="I2" s="178"/>
      <c r="J2" s="5"/>
      <c r="K2" s="5"/>
      <c r="L2" s="179" t="s">
        <v>3</v>
      </c>
      <c r="M2" s="180"/>
      <c r="N2" s="180"/>
      <c r="O2" s="180"/>
      <c r="P2" s="180"/>
      <c r="Q2" s="180"/>
      <c r="R2" s="180"/>
      <c r="S2" s="180"/>
      <c r="T2" s="180"/>
      <c r="U2" s="181"/>
      <c r="V2" s="182">
        <v>44107</v>
      </c>
      <c r="W2" s="175"/>
      <c r="Y2" s="6"/>
    </row>
    <row r="3" spans="1:30" ht="18.399999999999999" customHeight="1" x14ac:dyDescent="0.4">
      <c r="A3" s="1"/>
      <c r="B3" s="1"/>
      <c r="C3" s="1"/>
      <c r="D3" s="1"/>
      <c r="E3" s="1"/>
      <c r="F3" s="7"/>
      <c r="G3" s="159" t="s">
        <v>4</v>
      </c>
      <c r="H3" s="153" t="s">
        <v>5</v>
      </c>
      <c r="I3" s="154" t="s">
        <v>6</v>
      </c>
      <c r="J3" s="8"/>
      <c r="K3" s="8"/>
      <c r="L3" s="160">
        <v>44114</v>
      </c>
      <c r="M3" s="161"/>
      <c r="N3" s="161"/>
      <c r="O3" s="161"/>
      <c r="P3" s="162"/>
      <c r="Q3" s="163">
        <f>L3+7</f>
        <v>44121</v>
      </c>
      <c r="R3" s="161"/>
      <c r="S3" s="161"/>
      <c r="T3" s="161"/>
      <c r="U3" s="164"/>
      <c r="V3" s="9"/>
      <c r="W3" s="10"/>
      <c r="Y3" s="165" t="s">
        <v>7</v>
      </c>
    </row>
    <row r="4" spans="1:30" ht="18.399999999999999" customHeight="1" x14ac:dyDescent="0.4">
      <c r="A4" s="1"/>
      <c r="B4" s="1"/>
      <c r="C4" s="1"/>
      <c r="D4" s="153" t="s">
        <v>8</v>
      </c>
      <c r="E4" s="153" t="s">
        <v>9</v>
      </c>
      <c r="F4" s="154" t="s">
        <v>10</v>
      </c>
      <c r="G4" s="159"/>
      <c r="H4" s="153"/>
      <c r="I4" s="154"/>
      <c r="J4" s="8"/>
      <c r="K4" s="8"/>
      <c r="L4" s="155" t="s">
        <v>1</v>
      </c>
      <c r="M4" s="156"/>
      <c r="N4" s="156" t="s">
        <v>11</v>
      </c>
      <c r="O4" s="156"/>
      <c r="P4" s="157"/>
      <c r="Q4" s="158" t="s">
        <v>1</v>
      </c>
      <c r="R4" s="156"/>
      <c r="S4" s="156" t="s">
        <v>11</v>
      </c>
      <c r="T4" s="156"/>
      <c r="U4" s="166"/>
      <c r="V4" s="167" t="s">
        <v>12</v>
      </c>
      <c r="W4" s="168" t="s">
        <v>13</v>
      </c>
      <c r="Y4" s="165"/>
    </row>
    <row r="5" spans="1:30" ht="43.5" x14ac:dyDescent="0.4">
      <c r="A5" s="1"/>
      <c r="B5" s="1"/>
      <c r="C5" s="1"/>
      <c r="D5" s="153"/>
      <c r="E5" s="153"/>
      <c r="F5" s="154"/>
      <c r="G5" s="159"/>
      <c r="H5" s="153"/>
      <c r="I5" s="154"/>
      <c r="J5" s="8"/>
      <c r="K5" s="8"/>
      <c r="L5" s="11" t="s">
        <v>14</v>
      </c>
      <c r="M5" s="12" t="s">
        <v>15</v>
      </c>
      <c r="N5" s="12" t="s">
        <v>16</v>
      </c>
      <c r="O5" s="12" t="s">
        <v>17</v>
      </c>
      <c r="P5" s="8" t="s">
        <v>18</v>
      </c>
      <c r="Q5" s="13" t="s">
        <v>14</v>
      </c>
      <c r="R5" s="12" t="s">
        <v>15</v>
      </c>
      <c r="S5" s="12" t="s">
        <v>16</v>
      </c>
      <c r="T5" s="12" t="s">
        <v>17</v>
      </c>
      <c r="U5" s="8" t="s">
        <v>18</v>
      </c>
      <c r="V5" s="167"/>
      <c r="W5" s="168"/>
      <c r="Y5" s="165"/>
    </row>
    <row r="6" spans="1:30" x14ac:dyDescent="0.25">
      <c r="A6" s="14" t="s">
        <v>19</v>
      </c>
      <c r="B6" s="15"/>
      <c r="C6" s="16"/>
      <c r="D6" s="17">
        <f>D7</f>
        <v>0.73036990934420276</v>
      </c>
      <c r="E6" s="18">
        <v>0.62793674698795177</v>
      </c>
      <c r="F6" s="19">
        <f>E6-D6</f>
        <v>-0.102433162356251</v>
      </c>
      <c r="G6" s="20">
        <f t="shared" ref="G6:U6" si="0">G150</f>
        <v>2384</v>
      </c>
      <c r="H6" s="21">
        <f t="shared" si="0"/>
        <v>2194.25</v>
      </c>
      <c r="I6" s="22">
        <f t="shared" si="0"/>
        <v>-189.75</v>
      </c>
      <c r="J6" s="23"/>
      <c r="K6" s="23"/>
      <c r="L6" s="24">
        <f t="shared" si="0"/>
        <v>2452.83</v>
      </c>
      <c r="M6" s="25">
        <f t="shared" si="0"/>
        <v>0</v>
      </c>
      <c r="N6" s="25">
        <f t="shared" si="0"/>
        <v>0</v>
      </c>
      <c r="O6" s="25">
        <f t="shared" si="0"/>
        <v>0</v>
      </c>
      <c r="P6" s="26">
        <f t="shared" si="0"/>
        <v>122.4</v>
      </c>
      <c r="Q6" s="24">
        <f t="shared" si="0"/>
        <v>2597.0100000000002</v>
      </c>
      <c r="R6" s="25">
        <f t="shared" si="0"/>
        <v>20</v>
      </c>
      <c r="S6" s="25">
        <f t="shared" si="0"/>
        <v>0</v>
      </c>
      <c r="T6" s="25">
        <f t="shared" si="0"/>
        <v>0</v>
      </c>
      <c r="U6" s="26">
        <f t="shared" si="0"/>
        <v>34.4</v>
      </c>
      <c r="V6" s="27">
        <f>V7</f>
        <v>0.62213541666666672</v>
      </c>
      <c r="W6" s="28">
        <f>W7</f>
        <v>0.61861877568896995</v>
      </c>
      <c r="Y6" s="29">
        <f>Y7</f>
        <v>3399.65</v>
      </c>
      <c r="Z6" s="30"/>
    </row>
    <row r="7" spans="1:30" ht="16.5" x14ac:dyDescent="0.35">
      <c r="A7" s="14" t="s">
        <v>20</v>
      </c>
      <c r="B7" s="15"/>
      <c r="C7" s="16"/>
      <c r="D7" s="17">
        <v>0.73036990934420276</v>
      </c>
      <c r="E7" s="18">
        <v>0.62793674698795177</v>
      </c>
      <c r="F7" s="19">
        <f>E7-D7</f>
        <v>-0.102433162356251</v>
      </c>
      <c r="G7" s="20">
        <f>SUM(G39:G133,G142:G149)</f>
        <v>2267</v>
      </c>
      <c r="H7" s="21">
        <f>SUM(H39:H133,H142:H149)</f>
        <v>2084.75</v>
      </c>
      <c r="I7" s="22">
        <f>SUM(I39:I133,I142:I149)</f>
        <v>-182.25</v>
      </c>
      <c r="J7" s="23"/>
      <c r="K7" s="23"/>
      <c r="L7" s="24">
        <f t="shared" ref="L7:U7" si="1">SUM(L39:L133,L142:L149)</f>
        <v>2279.83</v>
      </c>
      <c r="M7" s="25">
        <f t="shared" si="1"/>
        <v>0</v>
      </c>
      <c r="N7" s="25">
        <f t="shared" si="1"/>
        <v>0</v>
      </c>
      <c r="O7" s="25">
        <f t="shared" si="1"/>
        <v>0</v>
      </c>
      <c r="P7" s="26">
        <f t="shared" si="1"/>
        <v>122.4</v>
      </c>
      <c r="Q7" s="24">
        <f t="shared" si="1"/>
        <v>2424.0100000000002</v>
      </c>
      <c r="R7" s="25">
        <f t="shared" si="1"/>
        <v>20</v>
      </c>
      <c r="S7" s="25">
        <f t="shared" si="1"/>
        <v>0</v>
      </c>
      <c r="T7" s="25">
        <f t="shared" si="1"/>
        <v>0</v>
      </c>
      <c r="U7" s="26">
        <f t="shared" si="1"/>
        <v>34.4</v>
      </c>
      <c r="V7" s="27">
        <v>0.62213541666666672</v>
      </c>
      <c r="W7" s="28">
        <v>0.61861877568896995</v>
      </c>
      <c r="Y7" s="29">
        <f>SUM(Y39:Y130)</f>
        <v>3399.65</v>
      </c>
      <c r="Z7" s="30"/>
      <c r="AA7" s="31" t="s">
        <v>21</v>
      </c>
      <c r="AC7" s="31" t="s">
        <v>22</v>
      </c>
      <c r="AD7" s="31" t="s">
        <v>23</v>
      </c>
    </row>
    <row r="8" spans="1:30" ht="4.9000000000000004" customHeight="1" thickBot="1" x14ac:dyDescent="0.4">
      <c r="A8" s="14"/>
      <c r="B8" s="15"/>
      <c r="C8" s="15"/>
      <c r="D8" s="27"/>
      <c r="E8" s="18"/>
      <c r="F8" s="19"/>
      <c r="G8" s="24"/>
      <c r="H8" s="26"/>
      <c r="I8" s="21"/>
      <c r="J8" s="21"/>
      <c r="K8" s="21"/>
      <c r="L8" s="24"/>
      <c r="M8" s="26"/>
      <c r="N8" s="26"/>
      <c r="O8" s="26"/>
      <c r="P8" s="26"/>
      <c r="Q8" s="24"/>
      <c r="R8" s="26"/>
      <c r="S8" s="26"/>
      <c r="T8" s="26"/>
      <c r="U8" s="26"/>
      <c r="V8" s="27"/>
      <c r="W8" s="28"/>
      <c r="Y8" s="29"/>
      <c r="Z8" s="30"/>
      <c r="AC8" s="31"/>
      <c r="AD8" s="31"/>
    </row>
    <row r="9" spans="1:30" ht="18" thickTop="1" x14ac:dyDescent="0.4">
      <c r="A9" s="150" t="s">
        <v>24</v>
      </c>
      <c r="B9" s="150"/>
      <c r="C9" s="150"/>
      <c r="D9" s="32"/>
      <c r="E9" s="33"/>
      <c r="F9" s="34"/>
      <c r="G9" s="35"/>
      <c r="H9" s="36"/>
      <c r="I9" s="37"/>
      <c r="J9" s="37"/>
      <c r="K9" s="37"/>
      <c r="L9" s="35"/>
      <c r="M9" s="38"/>
      <c r="N9" s="39"/>
      <c r="O9" s="39"/>
      <c r="P9" s="36"/>
      <c r="Q9" s="35"/>
      <c r="R9" s="38"/>
      <c r="S9" s="39"/>
      <c r="T9" s="39"/>
      <c r="U9" s="36"/>
      <c r="V9" s="40"/>
      <c r="W9" s="41"/>
      <c r="X9" s="42"/>
      <c r="Y9" s="43"/>
      <c r="AA9" s="44"/>
      <c r="AC9" s="44"/>
      <c r="AD9" s="44"/>
    </row>
    <row r="10" spans="1:30" ht="27" x14ac:dyDescent="0.35">
      <c r="A10" s="45" t="s">
        <v>22</v>
      </c>
      <c r="B10" s="46" t="s">
        <v>25</v>
      </c>
      <c r="C10" s="46" t="s">
        <v>26</v>
      </c>
      <c r="D10" s="47" t="s">
        <v>27</v>
      </c>
      <c r="E10" s="48"/>
      <c r="F10" s="49"/>
      <c r="G10" s="50"/>
      <c r="H10" s="51"/>
      <c r="I10" s="52"/>
      <c r="J10" s="52"/>
      <c r="K10" s="52"/>
      <c r="L10" s="50"/>
      <c r="M10" s="53"/>
      <c r="N10" s="25"/>
      <c r="O10" s="25"/>
      <c r="P10" s="51"/>
      <c r="Q10" s="50"/>
      <c r="R10" s="53"/>
      <c r="S10" s="25"/>
      <c r="T10" s="25"/>
      <c r="U10" s="51"/>
      <c r="V10" s="54"/>
      <c r="W10" s="55"/>
      <c r="Y10" s="56"/>
      <c r="AA10" s="44"/>
    </row>
    <row r="11" spans="1:30" x14ac:dyDescent="0.25">
      <c r="A11" s="57" t="s">
        <v>28</v>
      </c>
      <c r="B11" s="56">
        <v>320</v>
      </c>
      <c r="C11" s="51">
        <v>8</v>
      </c>
      <c r="D11" s="58">
        <v>0.78749999999999998</v>
      </c>
      <c r="E11" s="48">
        <f>H11/B11</f>
        <v>0.32500000000000001</v>
      </c>
      <c r="F11" s="49">
        <f>E11-D11</f>
        <v>-0.46249999999999997</v>
      </c>
      <c r="G11" s="59">
        <f t="array" ref="G11">SUM(IF($A11=$AC$39:$AC$149,G$39:G$149,0))</f>
        <v>18</v>
      </c>
      <c r="H11" s="56">
        <f t="array" ref="H11">SUM(IF($A11=$AC$39:$AC$149,H$39:H$149,0))</f>
        <v>104</v>
      </c>
      <c r="I11" s="56">
        <f>H11-G11</f>
        <v>86</v>
      </c>
      <c r="J11" s="56"/>
      <c r="K11" s="56"/>
      <c r="L11" s="50">
        <f t="array" ref="L11">SUM(IF($A11=$AC$39:$AC$149,L$39:L$149,0))</f>
        <v>30</v>
      </c>
      <c r="M11" s="53">
        <f t="array" ref="M11">SUM(IF($A11=$AC$39:$AC$149,M$39:M$149,0))</f>
        <v>0</v>
      </c>
      <c r="N11" s="25">
        <f t="array" ref="N11">SUM(IF($A11=$AC$39:$AC$149,N$39:N$149,0))</f>
        <v>0</v>
      </c>
      <c r="O11" s="25">
        <f t="array" ref="O11">SUM(IF($A11=$AC$39:$AC$149,O$39:O$149,0))</f>
        <v>0</v>
      </c>
      <c r="P11" s="51">
        <f t="array" ref="P11">SUM(IF($A11=$AC$39:$AC$149,P$39:P$149,0))</f>
        <v>0</v>
      </c>
      <c r="Q11" s="50">
        <f t="array" ref="Q11">SUM(IF($A11=$AC$39:$AC$149,Q$39:Q$149,0))</f>
        <v>30</v>
      </c>
      <c r="R11" s="53">
        <f t="array" ref="R11">SUM(IF($A11=$AC$39:$AC$149,R$39:R$149,0))</f>
        <v>0</v>
      </c>
      <c r="S11" s="25">
        <f t="array" ref="S11">SUM(IF($A11=$AC$39:$AC$149,S$39:S$149,0))</f>
        <v>0</v>
      </c>
      <c r="T11" s="25">
        <f t="array" ref="T11">SUM(IF($A11=$AC$39:$AC$149,T$39:T$149,0))</f>
        <v>0</v>
      </c>
      <c r="U11" s="51">
        <f t="array" ref="U11">SUM(IF($A11=$AC$39:$AC$149,U$39:U$149,0))</f>
        <v>0</v>
      </c>
      <c r="V11" s="54">
        <v>0</v>
      </c>
      <c r="W11" s="55">
        <v>0</v>
      </c>
      <c r="X11" s="60"/>
      <c r="Y11" s="56"/>
      <c r="AA11" s="44"/>
    </row>
    <row r="12" spans="1:30" x14ac:dyDescent="0.25">
      <c r="A12" s="57" t="s">
        <v>29</v>
      </c>
      <c r="B12" s="56">
        <v>120</v>
      </c>
      <c r="C12" s="51">
        <v>3</v>
      </c>
      <c r="D12" s="58">
        <v>0.2</v>
      </c>
      <c r="E12" s="48">
        <f>H12/B12</f>
        <v>0.16666666666666666</v>
      </c>
      <c r="F12" s="49">
        <f>E12-D12</f>
        <v>-3.3333333333333354E-2</v>
      </c>
      <c r="G12" s="59">
        <f t="array" ref="G12">SUM(IF($A12=$AC$39:$AC$149,G$39:G$149,0))</f>
        <v>20</v>
      </c>
      <c r="H12" s="56">
        <f t="array" ref="H12">SUM(IF($A12=$AC$39:$AC$149,H$39:H$149,0))</f>
        <v>20</v>
      </c>
      <c r="I12" s="56">
        <f>H12-G12</f>
        <v>0</v>
      </c>
      <c r="J12" s="56"/>
      <c r="K12" s="56"/>
      <c r="L12" s="50">
        <f t="array" ref="L12">SUM(IF($A12=$AC$39:$AC$149,L$39:L$149,0))</f>
        <v>20</v>
      </c>
      <c r="M12" s="53">
        <f t="array" ref="M12">SUM(IF($A12=$AC$39:$AC$149,M$39:M$149,0))</f>
        <v>0</v>
      </c>
      <c r="N12" s="25">
        <f t="array" ref="N12">SUM(IF($A12=$AC$39:$AC$149,N$39:N$149,0))</f>
        <v>0</v>
      </c>
      <c r="O12" s="25">
        <f t="array" ref="O12">SUM(IF($A12=$AC$39:$AC$149,O$39:O$149,0))</f>
        <v>0</v>
      </c>
      <c r="P12" s="51">
        <f t="array" ref="P12">SUM(IF($A12=$AC$39:$AC$149,P$39:P$149,0))</f>
        <v>0</v>
      </c>
      <c r="Q12" s="50">
        <f t="array" ref="Q12">SUM(IF($A12=$AC$39:$AC$149,Q$39:Q$149,0))</f>
        <v>20</v>
      </c>
      <c r="R12" s="53">
        <f t="array" ref="R12">SUM(IF($A12=$AC$39:$AC$149,R$39:R$149,0))</f>
        <v>0</v>
      </c>
      <c r="S12" s="25">
        <f t="array" ref="S12">SUM(IF($A12=$AC$39:$AC$149,S$39:S$149,0))</f>
        <v>0</v>
      </c>
      <c r="T12" s="25">
        <f t="array" ref="T12">SUM(IF($A12=$AC$39:$AC$149,T$39:T$149,0))</f>
        <v>0</v>
      </c>
      <c r="U12" s="51">
        <f t="array" ref="U12">SUM(IF($A12=$AC$39:$AC$149,U$39:U$149,0))</f>
        <v>0</v>
      </c>
      <c r="V12" s="54">
        <v>0.16666666666666666</v>
      </c>
      <c r="W12" s="55">
        <v>0.11929824561403508</v>
      </c>
      <c r="X12" s="60"/>
      <c r="Y12" s="56"/>
      <c r="AA12" s="44"/>
    </row>
    <row r="13" spans="1:30" x14ac:dyDescent="0.25">
      <c r="A13" s="57" t="s">
        <v>30</v>
      </c>
      <c r="B13" s="56">
        <v>560</v>
      </c>
      <c r="C13" s="51">
        <v>14</v>
      </c>
      <c r="D13" s="58">
        <v>0.65714285714285714</v>
      </c>
      <c r="E13" s="48">
        <f>H13/B13</f>
        <v>0.5223214285714286</v>
      </c>
      <c r="F13" s="49">
        <f>E13-D13</f>
        <v>-0.13482142857142854</v>
      </c>
      <c r="G13" s="59">
        <f t="array" ref="G13">SUM(IF($A13=$AC$39:$AC$149,G$39:G$149,0))</f>
        <v>304.5</v>
      </c>
      <c r="H13" s="56">
        <f t="array" ref="H13">SUM(IF($A13=$AC$39:$AC$149,H$39:H$149,0))</f>
        <v>292.5</v>
      </c>
      <c r="I13" s="56">
        <f>H13-G13</f>
        <v>-12</v>
      </c>
      <c r="J13" s="56"/>
      <c r="K13" s="56"/>
      <c r="L13" s="50">
        <f t="array" ref="L13">SUM(IF($A13=$AC$39:$AC$149,L$39:L$149,0))</f>
        <v>312.5</v>
      </c>
      <c r="M13" s="53">
        <f t="array" ref="M13">SUM(IF($A13=$AC$39:$AC$149,M$39:M$149,0))</f>
        <v>0</v>
      </c>
      <c r="N13" s="25">
        <f t="array" ref="N13">SUM(IF($A13=$AC$39:$AC$149,N$39:N$149,0))</f>
        <v>0</v>
      </c>
      <c r="O13" s="25">
        <f t="array" ref="O13">SUM(IF($A13=$AC$39:$AC$149,O$39:O$149,0))</f>
        <v>0</v>
      </c>
      <c r="P13" s="51">
        <f t="array" ref="P13">SUM(IF($A13=$AC$39:$AC$149,P$39:P$149,0))</f>
        <v>0</v>
      </c>
      <c r="Q13" s="50">
        <f t="array" ref="Q13">SUM(IF($A13=$AC$39:$AC$149,Q$39:Q$149,0))</f>
        <v>316</v>
      </c>
      <c r="R13" s="53">
        <f t="array" ref="R13">SUM(IF($A13=$AC$39:$AC$149,R$39:R$149,0))</f>
        <v>0</v>
      </c>
      <c r="S13" s="25">
        <f t="array" ref="S13">SUM(IF($A13=$AC$39:$AC$149,S$39:S$149,0))</f>
        <v>0</v>
      </c>
      <c r="T13" s="25">
        <f t="array" ref="T13">SUM(IF($A13=$AC$39:$AC$149,T$39:T$149,0))</f>
        <v>0</v>
      </c>
      <c r="U13" s="51">
        <f t="array" ref="U13">SUM(IF($A13=$AC$39:$AC$149,U$39:U$149,0))</f>
        <v>0</v>
      </c>
      <c r="V13" s="54">
        <v>0.57656249999999998</v>
      </c>
      <c r="W13" s="55">
        <v>0.59630359535506916</v>
      </c>
      <c r="X13" s="60"/>
      <c r="Y13" s="56"/>
      <c r="AA13" s="44"/>
    </row>
    <row r="14" spans="1:30" x14ac:dyDescent="0.25">
      <c r="A14" s="57" t="s">
        <v>31</v>
      </c>
      <c r="B14" s="56">
        <v>2040</v>
      </c>
      <c r="C14" s="51">
        <v>51</v>
      </c>
      <c r="D14" s="58">
        <v>0.76078431372549016</v>
      </c>
      <c r="E14" s="48">
        <f>H14/B14</f>
        <v>0.77830882352941178</v>
      </c>
      <c r="F14" s="49">
        <f>E14-D14</f>
        <v>1.7524509803921617E-2</v>
      </c>
      <c r="G14" s="59">
        <f t="array" ref="G14">SUM(IF($A14=$AC$39:$AC$149,G$39:G$149,0))</f>
        <v>1676</v>
      </c>
      <c r="H14" s="56">
        <f t="array" ref="H14">SUM(IF($A14=$AC$39:$AC$149,H$39:H$149,0))</f>
        <v>1587.75</v>
      </c>
      <c r="I14" s="56">
        <f>H14-G14</f>
        <v>-88.25</v>
      </c>
      <c r="J14" s="56"/>
      <c r="K14" s="56"/>
      <c r="L14" s="50">
        <f t="array" ref="L14">SUM(IF($A14=$AC$39:$AC$149,L$39:L$149,0))</f>
        <v>1668.33</v>
      </c>
      <c r="M14" s="53">
        <f t="array" ref="M14">SUM(IF($A14=$AC$39:$AC$149,M$39:M$149,0))</f>
        <v>0</v>
      </c>
      <c r="N14" s="25">
        <f t="array" ref="N14">SUM(IF($A14=$AC$39:$AC$149,N$39:N$149,0))</f>
        <v>0</v>
      </c>
      <c r="O14" s="25">
        <f t="array" ref="O14">SUM(IF($A14=$AC$39:$AC$149,O$39:O$149,0))</f>
        <v>0</v>
      </c>
      <c r="P14" s="51">
        <f t="array" ref="P14">SUM(IF($A14=$AC$39:$AC$149,P$39:P$149,0))</f>
        <v>120</v>
      </c>
      <c r="Q14" s="50">
        <f t="array" ref="Q14">SUM(IF($A14=$AC$39:$AC$149,Q$39:Q$149,0))</f>
        <v>1742</v>
      </c>
      <c r="R14" s="53">
        <f t="array" ref="R14">SUM(IF($A14=$AC$39:$AC$149,R$39:R$149,0))</f>
        <v>20</v>
      </c>
      <c r="S14" s="25">
        <f t="array" ref="S14">SUM(IF($A14=$AC$39:$AC$149,S$39:S$149,0))</f>
        <v>0</v>
      </c>
      <c r="T14" s="25">
        <f t="array" ref="T14">SUM(IF($A14=$AC$39:$AC$149,T$39:T$149,0))</f>
        <v>0</v>
      </c>
      <c r="U14" s="51">
        <f t="array" ref="U14">SUM(IF($A14=$AC$39:$AC$149,U$39:U$149,0))</f>
        <v>32</v>
      </c>
      <c r="V14" s="54">
        <v>0.73894230769230773</v>
      </c>
      <c r="W14" s="55">
        <v>0.74067379083580831</v>
      </c>
      <c r="Y14" s="56"/>
      <c r="AA14" s="44"/>
    </row>
    <row r="15" spans="1:30" ht="15.75" thickBot="1" x14ac:dyDescent="0.3">
      <c r="A15" s="57" t="s">
        <v>32</v>
      </c>
      <c r="B15" s="56">
        <v>280</v>
      </c>
      <c r="C15" s="51">
        <v>7</v>
      </c>
      <c r="D15" s="58">
        <v>0.3</v>
      </c>
      <c r="E15" s="48">
        <f>H15/B15</f>
        <v>0.28749999999999998</v>
      </c>
      <c r="F15" s="49">
        <f>E15-D15</f>
        <v>-1.2500000000000011E-2</v>
      </c>
      <c r="G15" s="59">
        <f t="array" ref="G15">SUM(IF($A15=$AC$39:$AC$149,G$39:G$149,0))</f>
        <v>101</v>
      </c>
      <c r="H15" s="56">
        <f t="array" ref="H15">SUM(IF($A15=$AC$39:$AC$149,H$39:H$149,0))</f>
        <v>80.5</v>
      </c>
      <c r="I15" s="56">
        <f>H15-G15</f>
        <v>-20.5</v>
      </c>
      <c r="J15" s="56"/>
      <c r="K15" s="56"/>
      <c r="L15" s="50">
        <f t="array" ref="L15">SUM(IF($A15=$AC$39:$AC$149,L$39:L$149,0))</f>
        <v>74</v>
      </c>
      <c r="M15" s="53">
        <f t="array" ref="M15">SUM(IF($A15=$AC$39:$AC$149,M$39:M$149,0))</f>
        <v>0</v>
      </c>
      <c r="N15" s="25">
        <f t="array" ref="N15">SUM(IF($A15=$AC$39:$AC$149,N$39:N$149,0))</f>
        <v>0</v>
      </c>
      <c r="O15" s="25">
        <f t="array" ref="O15">SUM(IF($A15=$AC$39:$AC$149,O$39:O$149,0))</f>
        <v>0</v>
      </c>
      <c r="P15" s="51">
        <f t="array" ref="P15">SUM(IF($A15=$AC$39:$AC$149,P$39:P$149,0))</f>
        <v>2.4</v>
      </c>
      <c r="Q15" s="50">
        <f t="array" ref="Q15">SUM(IF($A15=$AC$39:$AC$149,Q$39:Q$149,0))</f>
        <v>71.009999999999991</v>
      </c>
      <c r="R15" s="53">
        <f t="array" ref="R15">SUM(IF($A15=$AC$39:$AC$149,R$39:R$149,0))</f>
        <v>0</v>
      </c>
      <c r="S15" s="25">
        <f t="array" ref="S15">SUM(IF($A15=$AC$39:$AC$149,S$39:S$149,0))</f>
        <v>0</v>
      </c>
      <c r="T15" s="25">
        <f t="array" ref="T15">SUM(IF($A15=$AC$39:$AC$149,T$39:T$149,0))</f>
        <v>0</v>
      </c>
      <c r="U15" s="51">
        <f t="array" ref="U15">SUM(IF($A15=$AC$39:$AC$149,U$39:U$149,0))</f>
        <v>2.4</v>
      </c>
      <c r="V15" s="54">
        <v>0.24107142857142858</v>
      </c>
      <c r="W15" s="55">
        <v>0.23931388012618296</v>
      </c>
      <c r="Y15" s="56"/>
      <c r="AA15" s="44"/>
    </row>
    <row r="16" spans="1:30" ht="15.75" thickBot="1" x14ac:dyDescent="0.3">
      <c r="A16" s="61" t="s">
        <v>33</v>
      </c>
      <c r="B16" s="62">
        <f>SUM(B11:B15)</f>
        <v>3320</v>
      </c>
      <c r="C16" s="63">
        <f>SUM(C11:C15)</f>
        <v>83</v>
      </c>
      <c r="D16" s="64"/>
      <c r="E16" s="65"/>
      <c r="F16" s="66"/>
      <c r="G16" s="67">
        <f t="shared" ref="G16:U16" si="2">SUM(G11:G15)</f>
        <v>2119.5</v>
      </c>
      <c r="H16" s="68">
        <f t="shared" si="2"/>
        <v>2084.75</v>
      </c>
      <c r="I16" s="68">
        <f t="shared" si="2"/>
        <v>-34.75</v>
      </c>
      <c r="J16" s="68"/>
      <c r="K16" s="68"/>
      <c r="L16" s="69">
        <f t="shared" si="2"/>
        <v>2104.83</v>
      </c>
      <c r="M16" s="70">
        <f t="shared" si="2"/>
        <v>0</v>
      </c>
      <c r="N16" s="70">
        <f t="shared" si="2"/>
        <v>0</v>
      </c>
      <c r="O16" s="70">
        <f t="shared" si="2"/>
        <v>0</v>
      </c>
      <c r="P16" s="71">
        <f t="shared" si="2"/>
        <v>122.4</v>
      </c>
      <c r="Q16" s="69">
        <f t="shared" si="2"/>
        <v>2179.0100000000002</v>
      </c>
      <c r="R16" s="70">
        <f t="shared" si="2"/>
        <v>20</v>
      </c>
      <c r="S16" s="70">
        <f t="shared" si="2"/>
        <v>0</v>
      </c>
      <c r="T16" s="70">
        <f t="shared" si="2"/>
        <v>0</v>
      </c>
      <c r="U16" s="71">
        <f t="shared" si="2"/>
        <v>34.4</v>
      </c>
      <c r="V16" s="72">
        <v>0.62213541666666672</v>
      </c>
      <c r="W16" s="73">
        <v>0.61861877568896995</v>
      </c>
      <c r="Y16" s="56"/>
      <c r="AA16" s="44"/>
    </row>
    <row r="17" spans="1:27" ht="17.25" thickTop="1" x14ac:dyDescent="0.35">
      <c r="A17" s="45" t="s">
        <v>23</v>
      </c>
      <c r="B17" s="46"/>
      <c r="D17" s="58"/>
      <c r="E17" s="48"/>
      <c r="F17" s="49"/>
      <c r="G17" s="59"/>
      <c r="H17" s="56"/>
      <c r="I17" s="56"/>
      <c r="J17" s="56"/>
      <c r="K17" s="56"/>
      <c r="L17" s="50"/>
      <c r="M17" s="53"/>
      <c r="N17" s="25"/>
      <c r="O17" s="25"/>
      <c r="P17" s="51"/>
      <c r="Q17" s="50"/>
      <c r="R17" s="53"/>
      <c r="S17" s="25"/>
      <c r="T17" s="25"/>
      <c r="U17" s="51"/>
      <c r="V17" s="54"/>
      <c r="W17" s="55"/>
      <c r="X17" s="60"/>
      <c r="Y17" s="56"/>
      <c r="AA17" s="44"/>
    </row>
    <row r="18" spans="1:27" x14ac:dyDescent="0.25">
      <c r="A18" s="57" t="s">
        <v>34</v>
      </c>
      <c r="B18" s="56">
        <v>720</v>
      </c>
      <c r="C18" s="51">
        <v>18</v>
      </c>
      <c r="D18" s="58">
        <v>0.74444444444444446</v>
      </c>
      <c r="E18" s="48">
        <f>H18/B18</f>
        <v>0.79027777777777775</v>
      </c>
      <c r="F18" s="49">
        <f>E18-D18</f>
        <v>4.5833333333333282E-2</v>
      </c>
      <c r="G18" s="59">
        <f t="array" ref="G18">SUM(IF($A18=$AD$39:$AD$149,G$39:G$149,0))</f>
        <v>612</v>
      </c>
      <c r="H18" s="56">
        <f t="array" ref="H18">SUM(IF($A18=$AD$39:$AD$149,H$39:H$149,0))</f>
        <v>569</v>
      </c>
      <c r="I18" s="56">
        <f>H18-G18</f>
        <v>-43</v>
      </c>
      <c r="J18" s="56"/>
      <c r="K18" s="56"/>
      <c r="L18" s="50">
        <f t="array" ref="L18">SUM(IF($A18=$AD$39:$AD$149,L$39:L$149,0))</f>
        <v>623</v>
      </c>
      <c r="M18" s="53">
        <f t="array" ref="M18">SUM(IF($A18=$AD$39:$AD$149,M$39:M$149,0))</f>
        <v>0</v>
      </c>
      <c r="N18" s="25">
        <f t="array" ref="N18">SUM(IF($A18=$AD$39:$AD$149,N$39:N$149,0))</f>
        <v>0</v>
      </c>
      <c r="O18" s="25">
        <f t="array" ref="O18">SUM(IF($A18=$AD$39:$AD$149,O$39:O$149,0))</f>
        <v>0</v>
      </c>
      <c r="P18" s="51">
        <f t="array" ref="P18">SUM(IF($A18=$AD$39:$AD$149,P$39:P$149,0))</f>
        <v>16</v>
      </c>
      <c r="Q18" s="50">
        <f t="array" ref="Q18">SUM(IF($A18=$AD$39:$AD$149,Q$39:Q$149,0))</f>
        <v>656</v>
      </c>
      <c r="R18" s="53">
        <f t="array" ref="R18">SUM(IF($A18=$AD$39:$AD$149,R$39:R$149,0))</f>
        <v>0</v>
      </c>
      <c r="S18" s="25">
        <f t="array" ref="S18">SUM(IF($A18=$AD$39:$AD$149,S$39:S$149,0))</f>
        <v>0</v>
      </c>
      <c r="T18" s="25">
        <f t="array" ref="T18">SUM(IF($A18=$AD$39:$AD$149,T$39:T$149,0))</f>
        <v>0</v>
      </c>
      <c r="U18" s="51">
        <f t="array" ref="U18">SUM(IF($A18=$AD$39:$AD$149,U$39:U$149,0))</f>
        <v>0</v>
      </c>
      <c r="V18" s="54">
        <v>0.67378472222222219</v>
      </c>
      <c r="W18" s="55">
        <v>0.77303445229681977</v>
      </c>
      <c r="Y18" s="56"/>
      <c r="AA18" s="44"/>
    </row>
    <row r="19" spans="1:27" x14ac:dyDescent="0.25">
      <c r="A19" s="57" t="s">
        <v>29</v>
      </c>
      <c r="B19" s="56">
        <v>120</v>
      </c>
      <c r="C19" s="51">
        <v>3</v>
      </c>
      <c r="D19" s="58">
        <v>0.2</v>
      </c>
      <c r="E19" s="48">
        <f t="shared" ref="E19:E21" si="3">H19/B19</f>
        <v>0.16666666666666666</v>
      </c>
      <c r="F19" s="49">
        <f t="shared" ref="F19:F21" si="4">E19-D19</f>
        <v>-3.3333333333333354E-2</v>
      </c>
      <c r="G19" s="59">
        <f t="array" ref="G19">SUM(IF($A19=$AD$39:$AD$149,G$39:G$149,0))</f>
        <v>20</v>
      </c>
      <c r="H19" s="56">
        <f t="array" ref="H19">SUM(IF($A19=$AD$39:$AD$149,H$39:H$149,0))</f>
        <v>20</v>
      </c>
      <c r="I19" s="56">
        <f t="shared" ref="I19:I21" si="5">H19-G19</f>
        <v>0</v>
      </c>
      <c r="J19" s="56"/>
      <c r="K19" s="56"/>
      <c r="L19" s="50">
        <f t="array" ref="L19">SUM(IF($A19=$AD$39:$AD$149,L$39:L$149,0))</f>
        <v>20</v>
      </c>
      <c r="M19" s="53">
        <f t="array" ref="M19">SUM(IF($A19=$AD$39:$AD$149,M$39:M$149,0))</f>
        <v>0</v>
      </c>
      <c r="N19" s="25">
        <f t="array" ref="N19">SUM(IF($A19=$AD$39:$AD$149,N$39:N$149,0))</f>
        <v>0</v>
      </c>
      <c r="O19" s="25">
        <f t="array" ref="O19">SUM(IF($A19=$AD$39:$AD$149,O$39:O$149,0))</f>
        <v>0</v>
      </c>
      <c r="P19" s="51">
        <f t="array" ref="P19">SUM(IF($A19=$AD$39:$AD$149,P$39:P$149,0))</f>
        <v>0</v>
      </c>
      <c r="Q19" s="50">
        <f t="array" ref="Q19">SUM(IF($A19=$AD$39:$AD$149,Q$39:Q$149,0))</f>
        <v>20</v>
      </c>
      <c r="R19" s="53">
        <f t="array" ref="R19">SUM(IF($A19=$AD$39:$AD$149,R$39:R$149,0))</f>
        <v>0</v>
      </c>
      <c r="S19" s="25">
        <f t="array" ref="S19">SUM(IF($A19=$AD$39:$AD$149,S$39:S$149,0))</f>
        <v>0</v>
      </c>
      <c r="T19" s="25">
        <f t="array" ref="T19">SUM(IF($A19=$AD$39:$AD$149,T$39:T$149,0))</f>
        <v>0</v>
      </c>
      <c r="U19" s="51">
        <f t="array" ref="U19">SUM(IF($A19=$AD$39:$AD$149,U$39:U$149,0))</f>
        <v>0</v>
      </c>
      <c r="V19" s="54">
        <v>0.16666666666666666</v>
      </c>
      <c r="W19" s="55">
        <v>0.11929824561403508</v>
      </c>
      <c r="Y19" s="56"/>
      <c r="AA19" s="44"/>
    </row>
    <row r="20" spans="1:27" x14ac:dyDescent="0.25">
      <c r="A20" s="57" t="s">
        <v>35</v>
      </c>
      <c r="B20" s="56">
        <v>40</v>
      </c>
      <c r="C20" s="51">
        <v>1</v>
      </c>
      <c r="D20" s="58">
        <v>0.8</v>
      </c>
      <c r="E20" s="48">
        <f t="shared" si="3"/>
        <v>0.72499999999999998</v>
      </c>
      <c r="F20" s="49">
        <f t="shared" si="4"/>
        <v>-7.5000000000000067E-2</v>
      </c>
      <c r="G20" s="59">
        <f t="array" ref="G20">SUM(IF($A20=$AD$39:$AD$149,G$39:G$149,0))</f>
        <v>28</v>
      </c>
      <c r="H20" s="56">
        <f t="array" ref="H20">SUM(IF($A20=$AD$39:$AD$149,H$39:H$149,0))</f>
        <v>29</v>
      </c>
      <c r="I20" s="56">
        <f t="shared" si="5"/>
        <v>1</v>
      </c>
      <c r="J20" s="56"/>
      <c r="K20" s="56"/>
      <c r="L20" s="50">
        <f t="array" ref="L20">SUM(IF($A20=$AD$39:$AD$149,L$39:L$149,0))</f>
        <v>39</v>
      </c>
      <c r="M20" s="53">
        <f t="array" ref="M20">SUM(IF($A20=$AD$39:$AD$149,M$39:M$149,0))</f>
        <v>0</v>
      </c>
      <c r="N20" s="25">
        <f t="array" ref="N20">SUM(IF($A20=$AD$39:$AD$149,N$39:N$149,0))</f>
        <v>0</v>
      </c>
      <c r="O20" s="25">
        <f t="array" ref="O20">SUM(IF($A20=$AD$39:$AD$149,O$39:O$149,0))</f>
        <v>0</v>
      </c>
      <c r="P20" s="51">
        <f t="array" ref="P20">SUM(IF($A20=$AD$39:$AD$149,P$39:P$149,0))</f>
        <v>0</v>
      </c>
      <c r="Q20" s="50">
        <f t="array" ref="Q20">SUM(IF($A20=$AD$39:$AD$149,Q$39:Q$149,0))</f>
        <v>44</v>
      </c>
      <c r="R20" s="53">
        <f t="array" ref="R20">SUM(IF($A20=$AD$39:$AD$149,R$39:R$149,0))</f>
        <v>0</v>
      </c>
      <c r="S20" s="25">
        <f t="array" ref="S20">SUM(IF($A20=$AD$39:$AD$149,S$39:S$149,0))</f>
        <v>0</v>
      </c>
      <c r="T20" s="25">
        <f t="array" ref="T20">SUM(IF($A20=$AD$39:$AD$149,T$39:T$149,0))</f>
        <v>0</v>
      </c>
      <c r="U20" s="51">
        <f t="array" ref="U20">SUM(IF($A20=$AD$39:$AD$149,U$39:U$149,0))</f>
        <v>0</v>
      </c>
      <c r="V20" s="54">
        <v>0</v>
      </c>
      <c r="W20" s="55">
        <v>0</v>
      </c>
      <c r="Y20" s="56"/>
      <c r="AA20" s="44"/>
    </row>
    <row r="21" spans="1:27" x14ac:dyDescent="0.25">
      <c r="A21" s="57" t="s">
        <v>36</v>
      </c>
      <c r="B21" s="56">
        <v>40</v>
      </c>
      <c r="C21" s="51">
        <v>1</v>
      </c>
      <c r="D21" s="58">
        <v>0.5</v>
      </c>
      <c r="E21" s="48">
        <f t="shared" si="3"/>
        <v>0.75</v>
      </c>
      <c r="F21" s="49">
        <f t="shared" si="4"/>
        <v>0.25</v>
      </c>
      <c r="G21" s="59">
        <f t="array" ref="G21">SUM(IF($A21=$AD$39:$AD$149,G$39:G$149,0))</f>
        <v>40</v>
      </c>
      <c r="H21" s="56">
        <f t="array" ref="H21">SUM(IF($A21=$AD$39:$AD$149,H$39:H$149,0))</f>
        <v>30</v>
      </c>
      <c r="I21" s="56">
        <f t="shared" si="5"/>
        <v>-10</v>
      </c>
      <c r="J21" s="56"/>
      <c r="K21" s="56"/>
      <c r="L21" s="50">
        <f t="array" ref="L21">SUM(IF($A21=$AD$39:$AD$149,L$39:L$149,0))</f>
        <v>40</v>
      </c>
      <c r="M21" s="53">
        <f t="array" ref="M21">SUM(IF($A21=$AD$39:$AD$149,M$39:M$149,0))</f>
        <v>0</v>
      </c>
      <c r="N21" s="25">
        <f t="array" ref="N21">SUM(IF($A21=$AD$39:$AD$149,N$39:N$149,0))</f>
        <v>0</v>
      </c>
      <c r="O21" s="25">
        <f t="array" ref="O21">SUM(IF($A21=$AD$39:$AD$149,O$39:O$149,0))</f>
        <v>0</v>
      </c>
      <c r="P21" s="51">
        <f t="array" ref="P21">SUM(IF($A21=$AD$39:$AD$149,P$39:P$149,0))</f>
        <v>0</v>
      </c>
      <c r="Q21" s="50">
        <f t="array" ref="Q21">SUM(IF($A21=$AD$39:$AD$149,Q$39:Q$149,0))</f>
        <v>40</v>
      </c>
      <c r="R21" s="53">
        <f t="array" ref="R21">SUM(IF($A21=$AD$39:$AD$149,R$39:R$149,0))</f>
        <v>0</v>
      </c>
      <c r="S21" s="25">
        <f t="array" ref="S21">SUM(IF($A21=$AD$39:$AD$149,S$39:S$149,0))</f>
        <v>0</v>
      </c>
      <c r="T21" s="25">
        <f t="array" ref="T21">SUM(IF($A21=$AD$39:$AD$149,T$39:T$149,0))</f>
        <v>0</v>
      </c>
      <c r="U21" s="51">
        <f t="array" ref="U21">SUM(IF($A21=$AD$39:$AD$149,U$39:U$149,0))</f>
        <v>0</v>
      </c>
      <c r="V21" s="54">
        <v>0</v>
      </c>
      <c r="W21" s="55">
        <v>0</v>
      </c>
      <c r="Y21" s="56"/>
      <c r="AA21" s="44"/>
    </row>
    <row r="22" spans="1:27" x14ac:dyDescent="0.25">
      <c r="A22" s="57" t="s">
        <v>37</v>
      </c>
      <c r="B22" s="56">
        <v>120</v>
      </c>
      <c r="C22" s="51">
        <v>3</v>
      </c>
      <c r="D22" s="58">
        <v>0.8</v>
      </c>
      <c r="E22" s="48">
        <f>H22/B22</f>
        <v>0.375</v>
      </c>
      <c r="F22" s="49">
        <f>E22-D22</f>
        <v>-0.42500000000000004</v>
      </c>
      <c r="G22" s="59">
        <f t="array" ref="G22">SUM(IF($A22=$AD$39:$AD$149,G$39:G$149,0))</f>
        <v>0</v>
      </c>
      <c r="H22" s="56">
        <f t="array" ref="H22">SUM(IF($A22=$AD$39:$AD$149,H$39:H$149,0))</f>
        <v>45</v>
      </c>
      <c r="I22" s="56">
        <f>H22-G22</f>
        <v>45</v>
      </c>
      <c r="J22" s="56"/>
      <c r="K22" s="56"/>
      <c r="L22" s="50">
        <f t="array" ref="L22">SUM(IF($A22=$AD$39:$AD$149,L$39:L$149,0))</f>
        <v>0</v>
      </c>
      <c r="M22" s="53">
        <f t="array" ref="M22">SUM(IF($A22=$AD$39:$AD$149,M$39:M$149,0))</f>
        <v>0</v>
      </c>
      <c r="N22" s="25">
        <f t="array" ref="N22">SUM(IF($A22=$AD$39:$AD$149,N$39:N$149,0))</f>
        <v>0</v>
      </c>
      <c r="O22" s="25">
        <f t="array" ref="O22">SUM(IF($A22=$AD$39:$AD$149,O$39:O$149,0))</f>
        <v>0</v>
      </c>
      <c r="P22" s="51">
        <f t="array" ref="P22">SUM(IF($A22=$AD$39:$AD$149,P$39:P$149,0))</f>
        <v>0</v>
      </c>
      <c r="Q22" s="50">
        <f t="array" ref="Q22">SUM(IF($A22=$AD$39:$AD$149,Q$39:Q$149,0))</f>
        <v>0</v>
      </c>
      <c r="R22" s="53">
        <f t="array" ref="R22">SUM(IF($A22=$AD$39:$AD$149,R$39:R$149,0))</f>
        <v>0</v>
      </c>
      <c r="S22" s="25">
        <f t="array" ref="S22">SUM(IF($A22=$AD$39:$AD$149,S$39:S$149,0))</f>
        <v>0</v>
      </c>
      <c r="T22" s="25">
        <f t="array" ref="T22">SUM(IF($A22=$AD$39:$AD$149,T$39:T$149,0))</f>
        <v>0</v>
      </c>
      <c r="U22" s="51">
        <f t="array" ref="U22">SUM(IF($A22=$AD$39:$AD$149,U$39:U$149,0))</f>
        <v>0</v>
      </c>
      <c r="V22" s="54">
        <v>0</v>
      </c>
      <c r="W22" s="55">
        <v>0</v>
      </c>
      <c r="Y22" s="56"/>
      <c r="AA22" s="44"/>
    </row>
    <row r="23" spans="1:27" x14ac:dyDescent="0.25">
      <c r="A23" s="57" t="s">
        <v>38</v>
      </c>
      <c r="B23" s="56">
        <v>160</v>
      </c>
      <c r="C23" s="51">
        <v>4</v>
      </c>
      <c r="D23" s="58">
        <v>0.8</v>
      </c>
      <c r="E23" s="48">
        <f t="shared" ref="E23:E34" si="6">H23/B23</f>
        <v>0.36875000000000002</v>
      </c>
      <c r="F23" s="49">
        <f t="shared" ref="F23:F34" si="7">E23-D23</f>
        <v>-0.43125000000000002</v>
      </c>
      <c r="G23" s="59">
        <f t="array" ref="G23">SUM(IF($A23=$AD$39:$AD$149,G$39:G$149,0))</f>
        <v>18</v>
      </c>
      <c r="H23" s="56">
        <f t="array" ref="H23">SUM(IF($A23=$AD$39:$AD$149,H$39:H$149,0))</f>
        <v>59</v>
      </c>
      <c r="I23" s="56">
        <f t="shared" ref="I23:I34" si="8">H23-G23</f>
        <v>41</v>
      </c>
      <c r="J23" s="56"/>
      <c r="K23" s="56"/>
      <c r="L23" s="50">
        <f t="array" ref="L23">SUM(IF($A23=$AD$39:$AD$149,L$39:L$149,0))</f>
        <v>30</v>
      </c>
      <c r="M23" s="53">
        <f t="array" ref="M23">SUM(IF($A23=$AD$39:$AD$149,M$39:M$149,0))</f>
        <v>0</v>
      </c>
      <c r="N23" s="25">
        <f t="array" ref="N23">SUM(IF($A23=$AD$39:$AD$149,N$39:N$149,0))</f>
        <v>0</v>
      </c>
      <c r="O23" s="25">
        <f t="array" ref="O23">SUM(IF($A23=$AD$39:$AD$149,O$39:O$149,0))</f>
        <v>0</v>
      </c>
      <c r="P23" s="51">
        <f t="array" ref="P23">SUM(IF($A23=$AD$39:$AD$149,P$39:P$149,0))</f>
        <v>0</v>
      </c>
      <c r="Q23" s="50">
        <f t="array" ref="Q23">SUM(IF($A23=$AD$39:$AD$149,Q$39:Q$149,0))</f>
        <v>30</v>
      </c>
      <c r="R23" s="53">
        <f t="array" ref="R23">SUM(IF($A23=$AD$39:$AD$149,R$39:R$149,0))</f>
        <v>0</v>
      </c>
      <c r="S23" s="25">
        <f t="array" ref="S23">SUM(IF($A23=$AD$39:$AD$149,S$39:S$149,0))</f>
        <v>0</v>
      </c>
      <c r="T23" s="25">
        <f t="array" ref="T23">SUM(IF($A23=$AD$39:$AD$149,T$39:T$149,0))</f>
        <v>0</v>
      </c>
      <c r="U23" s="51">
        <f t="array" ref="U23">SUM(IF($A23=$AD$39:$AD$149,U$39:U$149,0))</f>
        <v>0</v>
      </c>
      <c r="V23" s="54">
        <v>0</v>
      </c>
      <c r="W23" s="55">
        <v>0</v>
      </c>
      <c r="Y23" s="56"/>
      <c r="AA23" s="44"/>
    </row>
    <row r="24" spans="1:27" x14ac:dyDescent="0.25">
      <c r="A24" s="57" t="s">
        <v>39</v>
      </c>
      <c r="B24" s="56">
        <v>40</v>
      </c>
      <c r="C24" s="51">
        <v>1</v>
      </c>
      <c r="D24" s="58">
        <v>0.7</v>
      </c>
      <c r="E24" s="48">
        <f t="shared" si="6"/>
        <v>0</v>
      </c>
      <c r="F24" s="49">
        <f t="shared" si="7"/>
        <v>-0.7</v>
      </c>
      <c r="G24" s="59">
        <f t="array" ref="G24">SUM(IF($A24=$AD$39:$AD$149,G$39:G$149,0))</f>
        <v>0</v>
      </c>
      <c r="H24" s="56">
        <f t="array" ref="H24">SUM(IF($A24=$AD$39:$AD$149,H$39:H$149,0))</f>
        <v>0</v>
      </c>
      <c r="I24" s="56">
        <f t="shared" si="8"/>
        <v>0</v>
      </c>
      <c r="J24" s="56"/>
      <c r="K24" s="56"/>
      <c r="L24" s="50">
        <f t="array" ref="L24">SUM(IF($A24=$AD$39:$AD$149,L$39:L$149,0))</f>
        <v>0</v>
      </c>
      <c r="M24" s="53">
        <f t="array" ref="M24">SUM(IF($A24=$AD$39:$AD$149,M$39:M$149,0))</f>
        <v>0</v>
      </c>
      <c r="N24" s="25">
        <f t="array" ref="N24">SUM(IF($A24=$AD$39:$AD$149,N$39:N$149,0))</f>
        <v>0</v>
      </c>
      <c r="O24" s="25">
        <f t="array" ref="O24">SUM(IF($A24=$AD$39:$AD$149,O$39:O$149,0))</f>
        <v>0</v>
      </c>
      <c r="P24" s="51">
        <f t="array" ref="P24">SUM(IF($A24=$AD$39:$AD$149,P$39:P$149,0))</f>
        <v>0</v>
      </c>
      <c r="Q24" s="50">
        <f t="array" ref="Q24">SUM(IF($A24=$AD$39:$AD$149,Q$39:Q$149,0))</f>
        <v>0</v>
      </c>
      <c r="R24" s="53">
        <f t="array" ref="R24">SUM(IF($A24=$AD$39:$AD$149,R$39:R$149,0))</f>
        <v>0</v>
      </c>
      <c r="S24" s="25">
        <f t="array" ref="S24">SUM(IF($A24=$AD$39:$AD$149,S$39:S$149,0))</f>
        <v>0</v>
      </c>
      <c r="T24" s="25">
        <f t="array" ref="T24">SUM(IF($A24=$AD$39:$AD$149,T$39:T$149,0))</f>
        <v>0</v>
      </c>
      <c r="U24" s="51">
        <f t="array" ref="U24">SUM(IF($A24=$AD$39:$AD$149,U$39:U$149,0))</f>
        <v>0</v>
      </c>
      <c r="V24" s="54">
        <v>0</v>
      </c>
      <c r="W24" s="55">
        <v>0</v>
      </c>
      <c r="Y24" s="56"/>
      <c r="AA24" s="44"/>
    </row>
    <row r="25" spans="1:27" x14ac:dyDescent="0.25">
      <c r="A25" s="57" t="s">
        <v>40</v>
      </c>
      <c r="B25" s="56">
        <v>400</v>
      </c>
      <c r="C25" s="51">
        <v>10</v>
      </c>
      <c r="D25" s="58">
        <v>0.7</v>
      </c>
      <c r="E25" s="48">
        <f t="shared" si="6"/>
        <v>0.625</v>
      </c>
      <c r="F25" s="49">
        <f t="shared" si="7"/>
        <v>-7.4999999999999956E-2</v>
      </c>
      <c r="G25" s="59">
        <f t="array" ref="G25">SUM(IF($A25=$AD$39:$AD$149,G$39:G$149,0))</f>
        <v>264</v>
      </c>
      <c r="H25" s="56">
        <f t="array" ref="H25">SUM(IF($A25=$AD$39:$AD$149,H$39:H$149,0))</f>
        <v>250</v>
      </c>
      <c r="I25" s="56">
        <f t="shared" si="8"/>
        <v>-14</v>
      </c>
      <c r="J25" s="56"/>
      <c r="K25" s="56"/>
      <c r="L25" s="50">
        <f t="array" ref="L25">SUM(IF($A25=$AD$39:$AD$149,L$39:L$149,0))</f>
        <v>278</v>
      </c>
      <c r="M25" s="53">
        <f t="array" ref="M25">SUM(IF($A25=$AD$39:$AD$149,M$39:M$149,0))</f>
        <v>0</v>
      </c>
      <c r="N25" s="25">
        <f t="array" ref="N25">SUM(IF($A25=$AD$39:$AD$149,N$39:N$149,0))</f>
        <v>0</v>
      </c>
      <c r="O25" s="25">
        <f t="array" ref="O25">SUM(IF($A25=$AD$39:$AD$149,O$39:O$149,0))</f>
        <v>0</v>
      </c>
      <c r="P25" s="51">
        <f t="array" ref="P25">SUM(IF($A25=$AD$39:$AD$149,P$39:P$149,0))</f>
        <v>0</v>
      </c>
      <c r="Q25" s="50">
        <f t="array" ref="Q25">SUM(IF($A25=$AD$39:$AD$149,Q$39:Q$149,0))</f>
        <v>284</v>
      </c>
      <c r="R25" s="53">
        <f t="array" ref="R25">SUM(IF($A25=$AD$39:$AD$149,R$39:R$149,0))</f>
        <v>0</v>
      </c>
      <c r="S25" s="25">
        <f t="array" ref="S25">SUM(IF($A25=$AD$39:$AD$149,S$39:S$149,0))</f>
        <v>0</v>
      </c>
      <c r="T25" s="25">
        <f t="array" ref="T25">SUM(IF($A25=$AD$39:$AD$149,T$39:T$149,0))</f>
        <v>0</v>
      </c>
      <c r="U25" s="51">
        <f t="array" ref="U25">SUM(IF($A25=$AD$39:$AD$149,U$39:U$149,0))</f>
        <v>0</v>
      </c>
      <c r="V25" s="54">
        <v>0.62312500000000004</v>
      </c>
      <c r="W25" s="55">
        <v>0.73198815417256013</v>
      </c>
      <c r="Y25" s="56"/>
      <c r="AA25" s="44"/>
    </row>
    <row r="26" spans="1:27" x14ac:dyDescent="0.25">
      <c r="A26" s="57" t="s">
        <v>41</v>
      </c>
      <c r="B26" s="56">
        <v>120</v>
      </c>
      <c r="C26" s="51">
        <v>3</v>
      </c>
      <c r="D26" s="58">
        <v>0.7</v>
      </c>
      <c r="E26" s="48">
        <f t="shared" si="6"/>
        <v>0.35416666666666669</v>
      </c>
      <c r="F26" s="49">
        <f t="shared" si="7"/>
        <v>-0.34583333333333327</v>
      </c>
      <c r="G26" s="59">
        <f t="array" ref="G26">SUM(IF($A26=$AD$39:$AD$149,G$39:G$149,0))</f>
        <v>40.5</v>
      </c>
      <c r="H26" s="56">
        <f t="array" ref="H26">SUM(IF($A26=$AD$39:$AD$149,H$39:H$149,0))</f>
        <v>42.5</v>
      </c>
      <c r="I26" s="56">
        <f t="shared" si="8"/>
        <v>2</v>
      </c>
      <c r="J26" s="56"/>
      <c r="K26" s="56"/>
      <c r="L26" s="50">
        <f t="array" ref="L26">SUM(IF($A26=$AD$39:$AD$149,L$39:L$149,0))</f>
        <v>34.5</v>
      </c>
      <c r="M26" s="53">
        <f t="array" ref="M26">SUM(IF($A26=$AD$39:$AD$149,M$39:M$149,0))</f>
        <v>0</v>
      </c>
      <c r="N26" s="25">
        <f t="array" ref="N26">SUM(IF($A26=$AD$39:$AD$149,N$39:N$149,0))</f>
        <v>0</v>
      </c>
      <c r="O26" s="25">
        <f t="array" ref="O26">SUM(IF($A26=$AD$39:$AD$149,O$39:O$149,0))</f>
        <v>0</v>
      </c>
      <c r="P26" s="51">
        <f t="array" ref="P26">SUM(IF($A26=$AD$39:$AD$149,P$39:P$149,0))</f>
        <v>0</v>
      </c>
      <c r="Q26" s="50">
        <f t="array" ref="Q26">SUM(IF($A26=$AD$39:$AD$149,Q$39:Q$149,0))</f>
        <v>32</v>
      </c>
      <c r="R26" s="53">
        <f t="array" ref="R26">SUM(IF($A26=$AD$39:$AD$149,R$39:R$149,0))</f>
        <v>0</v>
      </c>
      <c r="S26" s="25">
        <f t="array" ref="S26">SUM(IF($A26=$AD$39:$AD$149,S$39:S$149,0))</f>
        <v>0</v>
      </c>
      <c r="T26" s="25">
        <f t="array" ref="T26">SUM(IF($A26=$AD$39:$AD$149,T$39:T$149,0))</f>
        <v>0</v>
      </c>
      <c r="U26" s="51">
        <f t="array" ref="U26">SUM(IF($A26=$AD$39:$AD$149,U$39:U$149,0))</f>
        <v>0</v>
      </c>
      <c r="V26" s="54">
        <v>0.61354166666666665</v>
      </c>
      <c r="W26" s="55">
        <v>0.47631009615384612</v>
      </c>
      <c r="Y26" s="56"/>
      <c r="AA26" s="44"/>
    </row>
    <row r="27" spans="1:27" x14ac:dyDescent="0.25">
      <c r="A27" s="57" t="s">
        <v>42</v>
      </c>
      <c r="B27" s="56">
        <v>40</v>
      </c>
      <c r="C27" s="51">
        <v>1</v>
      </c>
      <c r="D27" s="58">
        <v>0.2</v>
      </c>
      <c r="E27" s="48">
        <f t="shared" si="6"/>
        <v>0.125</v>
      </c>
      <c r="F27" s="49">
        <f t="shared" si="7"/>
        <v>-7.5000000000000011E-2</v>
      </c>
      <c r="G27" s="59">
        <f t="array" ref="G27">SUM(IF($A27=$AD$39:$AD$149,G$39:G$149,0))</f>
        <v>10</v>
      </c>
      <c r="H27" s="56">
        <f t="array" ref="H27">SUM(IF($A27=$AD$39:$AD$149,H$39:H$149,0))</f>
        <v>5</v>
      </c>
      <c r="I27" s="56">
        <f t="shared" si="8"/>
        <v>-5</v>
      </c>
      <c r="J27" s="56"/>
      <c r="K27" s="56"/>
      <c r="L27" s="50">
        <f t="array" ref="L27">SUM(IF($A27=$AD$39:$AD$149,L$39:L$149,0))</f>
        <v>10</v>
      </c>
      <c r="M27" s="53">
        <f t="array" ref="M27">SUM(IF($A27=$AD$39:$AD$149,M$39:M$149,0))</f>
        <v>0</v>
      </c>
      <c r="N27" s="25">
        <f t="array" ref="N27">SUM(IF($A27=$AD$39:$AD$149,N$39:N$149,0))</f>
        <v>0</v>
      </c>
      <c r="O27" s="25">
        <f t="array" ref="O27">SUM(IF($A27=$AD$39:$AD$149,O$39:O$149,0))</f>
        <v>0</v>
      </c>
      <c r="P27" s="51">
        <f t="array" ref="P27">SUM(IF($A27=$AD$39:$AD$149,P$39:P$149,0))</f>
        <v>0</v>
      </c>
      <c r="Q27" s="50">
        <f t="array" ref="Q27">SUM(IF($A27=$AD$39:$AD$149,Q$39:Q$149,0))</f>
        <v>10</v>
      </c>
      <c r="R27" s="53">
        <f t="array" ref="R27">SUM(IF($A27=$AD$39:$AD$149,R$39:R$149,0))</f>
        <v>0</v>
      </c>
      <c r="S27" s="25">
        <f t="array" ref="S27">SUM(IF($A27=$AD$39:$AD$149,S$39:S$149,0))</f>
        <v>0</v>
      </c>
      <c r="T27" s="25">
        <f t="array" ref="T27">SUM(IF($A27=$AD$39:$AD$149,T$39:T$149,0))</f>
        <v>0</v>
      </c>
      <c r="U27" s="51">
        <f t="array" ref="U27">SUM(IF($A27=$AD$39:$AD$149,U$39:U$149,0))</f>
        <v>0</v>
      </c>
      <c r="V27" s="54">
        <v>0</v>
      </c>
      <c r="W27" s="55">
        <v>0</v>
      </c>
      <c r="Y27" s="56"/>
      <c r="AA27" s="44"/>
    </row>
    <row r="28" spans="1:27" x14ac:dyDescent="0.25">
      <c r="A28" s="57" t="s">
        <v>43</v>
      </c>
      <c r="B28" s="56">
        <v>40</v>
      </c>
      <c r="C28" s="51">
        <v>1</v>
      </c>
      <c r="D28" s="58">
        <v>0.1</v>
      </c>
      <c r="E28" s="48">
        <f t="shared" si="6"/>
        <v>0</v>
      </c>
      <c r="F28" s="49">
        <f t="shared" si="7"/>
        <v>-0.1</v>
      </c>
      <c r="G28" s="59">
        <f t="array" ref="G28">SUM(IF($A28=$AD$39:$AD$149,G$39:G$149,0))</f>
        <v>0</v>
      </c>
      <c r="H28" s="56">
        <f t="array" ref="H28">SUM(IF($A28=$AD$39:$AD$149,H$39:H$149,0))</f>
        <v>0</v>
      </c>
      <c r="I28" s="56">
        <f t="shared" si="8"/>
        <v>0</v>
      </c>
      <c r="J28" s="56"/>
      <c r="K28" s="56"/>
      <c r="L28" s="50">
        <f t="array" ref="L28">SUM(IF($A28=$AD$39:$AD$149,L$39:L$149,0))</f>
        <v>0</v>
      </c>
      <c r="M28" s="53">
        <f t="array" ref="M28">SUM(IF($A28=$AD$39:$AD$149,M$39:M$149,0))</f>
        <v>0</v>
      </c>
      <c r="N28" s="25">
        <f t="array" ref="N28">SUM(IF($A28=$AD$39:$AD$149,N$39:N$149,0))</f>
        <v>0</v>
      </c>
      <c r="O28" s="25">
        <f t="array" ref="O28">SUM(IF($A28=$AD$39:$AD$149,O$39:O$149,0))</f>
        <v>0</v>
      </c>
      <c r="P28" s="51">
        <f t="array" ref="P28">SUM(IF($A28=$AD$39:$AD$149,P$39:P$149,0))</f>
        <v>0</v>
      </c>
      <c r="Q28" s="50">
        <f t="array" ref="Q28">SUM(IF($A28=$AD$39:$AD$149,Q$39:Q$149,0))</f>
        <v>0</v>
      </c>
      <c r="R28" s="53">
        <f t="array" ref="R28">SUM(IF($A28=$AD$39:$AD$149,R$39:R$149,0))</f>
        <v>0</v>
      </c>
      <c r="S28" s="25">
        <f t="array" ref="S28">SUM(IF($A28=$AD$39:$AD$149,S$39:S$149,0))</f>
        <v>0</v>
      </c>
      <c r="T28" s="25">
        <f t="array" ref="T28">SUM(IF($A28=$AD$39:$AD$149,T$39:T$149,0))</f>
        <v>0</v>
      </c>
      <c r="U28" s="51">
        <f t="array" ref="U28">SUM(IF($A28=$AD$39:$AD$149,U$39:U$149,0))</f>
        <v>0</v>
      </c>
      <c r="V28" s="54">
        <v>0</v>
      </c>
      <c r="W28" s="55">
        <v>0</v>
      </c>
      <c r="Y28" s="56"/>
      <c r="AA28" s="44"/>
    </row>
    <row r="29" spans="1:27" x14ac:dyDescent="0.25">
      <c r="A29" s="57" t="s">
        <v>44</v>
      </c>
      <c r="B29" s="56">
        <v>120</v>
      </c>
      <c r="C29" s="51">
        <v>3</v>
      </c>
      <c r="D29" s="58">
        <v>0.8</v>
      </c>
      <c r="E29" s="48">
        <f t="shared" si="6"/>
        <v>0.8</v>
      </c>
      <c r="F29" s="49">
        <f t="shared" si="7"/>
        <v>0</v>
      </c>
      <c r="G29" s="59">
        <f t="array" ref="G29">SUM(IF($A29=$AD$39:$AD$149,G$39:G$149,0))</f>
        <v>96</v>
      </c>
      <c r="H29" s="56">
        <f t="array" ref="H29">SUM(IF($A29=$AD$39:$AD$149,H$39:H$149,0))</f>
        <v>96</v>
      </c>
      <c r="I29" s="56">
        <f t="shared" si="8"/>
        <v>0</v>
      </c>
      <c r="J29" s="56"/>
      <c r="K29" s="56"/>
      <c r="L29" s="50">
        <f t="array" ref="L29">SUM(IF($A29=$AD$39:$AD$149,L$39:L$149,0))</f>
        <v>110.01</v>
      </c>
      <c r="M29" s="53">
        <f t="array" ref="M29">SUM(IF($A29=$AD$39:$AD$149,M$39:M$149,0))</f>
        <v>0</v>
      </c>
      <c r="N29" s="25">
        <f t="array" ref="N29">SUM(IF($A29=$AD$39:$AD$149,N$39:N$149,0))</f>
        <v>0</v>
      </c>
      <c r="O29" s="25">
        <f t="array" ref="O29">SUM(IF($A29=$AD$39:$AD$149,O$39:O$149,0))</f>
        <v>0</v>
      </c>
      <c r="P29" s="51">
        <f t="array" ref="P29">SUM(IF($A29=$AD$39:$AD$149,P$39:P$149,0))</f>
        <v>0</v>
      </c>
      <c r="Q29" s="50">
        <f t="array" ref="Q29">SUM(IF($A29=$AD$39:$AD$149,Q$39:Q$149,0))</f>
        <v>100</v>
      </c>
      <c r="R29" s="53">
        <f t="array" ref="R29">SUM(IF($A29=$AD$39:$AD$149,R$39:R$149,0))</f>
        <v>0</v>
      </c>
      <c r="S29" s="25">
        <f t="array" ref="S29">SUM(IF($A29=$AD$39:$AD$149,S$39:S$149,0))</f>
        <v>0</v>
      </c>
      <c r="T29" s="25">
        <f t="array" ref="T29">SUM(IF($A29=$AD$39:$AD$149,T$39:T$149,0))</f>
        <v>0</v>
      </c>
      <c r="U29" s="51">
        <f t="array" ref="U29">SUM(IF($A29=$AD$39:$AD$149,U$39:U$149,0))</f>
        <v>8</v>
      </c>
      <c r="V29" s="54">
        <v>0.9</v>
      </c>
      <c r="W29" s="55">
        <v>0.74368523316062174</v>
      </c>
      <c r="Y29" s="56"/>
      <c r="AA29" s="44"/>
    </row>
    <row r="30" spans="1:27" x14ac:dyDescent="0.25">
      <c r="A30" s="57" t="s">
        <v>45</v>
      </c>
      <c r="B30" s="56">
        <v>240</v>
      </c>
      <c r="C30" s="51">
        <v>6</v>
      </c>
      <c r="D30" s="58">
        <v>0.8</v>
      </c>
      <c r="E30" s="48">
        <f t="shared" si="6"/>
        <v>0.95625000000000004</v>
      </c>
      <c r="F30" s="49">
        <f t="shared" si="7"/>
        <v>0.15625</v>
      </c>
      <c r="G30" s="59">
        <f t="array" ref="G30">SUM(IF($A30=$AD$39:$AD$149,G$39:G$149,0))</f>
        <v>243</v>
      </c>
      <c r="H30" s="56">
        <f t="array" ref="H30">SUM(IF($A30=$AD$39:$AD$149,H$39:H$149,0))</f>
        <v>229.5</v>
      </c>
      <c r="I30" s="56">
        <f t="shared" si="8"/>
        <v>-13.5</v>
      </c>
      <c r="J30" s="56"/>
      <c r="K30" s="56"/>
      <c r="L30" s="50">
        <f t="array" ref="L30">SUM(IF($A30=$AD$39:$AD$149,L$39:L$149,0))</f>
        <v>232</v>
      </c>
      <c r="M30" s="53">
        <f t="array" ref="M30">SUM(IF($A30=$AD$39:$AD$149,M$39:M$149,0))</f>
        <v>0</v>
      </c>
      <c r="N30" s="25">
        <f t="array" ref="N30">SUM(IF($A30=$AD$39:$AD$149,N$39:N$149,0))</f>
        <v>0</v>
      </c>
      <c r="O30" s="25">
        <f t="array" ref="O30">SUM(IF($A30=$AD$39:$AD$149,O$39:O$149,0))</f>
        <v>0</v>
      </c>
      <c r="P30" s="51">
        <f t="array" ref="P30">SUM(IF($A30=$AD$39:$AD$149,P$39:P$149,0))</f>
        <v>8</v>
      </c>
      <c r="Q30" s="50">
        <f t="array" ref="Q30">SUM(IF($A30=$AD$39:$AD$149,Q$39:Q$149,0))</f>
        <v>224</v>
      </c>
      <c r="R30" s="53">
        <f t="array" ref="R30">SUM(IF($A30=$AD$39:$AD$149,R$39:R$149,0))</f>
        <v>0</v>
      </c>
      <c r="S30" s="25">
        <f t="array" ref="S30">SUM(IF($A30=$AD$39:$AD$149,S$39:S$149,0))</f>
        <v>0</v>
      </c>
      <c r="T30" s="25">
        <f t="array" ref="T30">SUM(IF($A30=$AD$39:$AD$149,T$39:T$149,0))</f>
        <v>0</v>
      </c>
      <c r="U30" s="51">
        <f t="array" ref="U30">SUM(IF($A30=$AD$39:$AD$149,U$39:U$149,0))</f>
        <v>8</v>
      </c>
      <c r="V30" s="54">
        <v>0.93958333333333333</v>
      </c>
      <c r="W30" s="55">
        <v>0.8234154238618524</v>
      </c>
      <c r="Y30" s="56"/>
      <c r="AA30" s="44"/>
    </row>
    <row r="31" spans="1:27" x14ac:dyDescent="0.25">
      <c r="A31" s="57" t="s">
        <v>46</v>
      </c>
      <c r="B31" s="56">
        <v>280</v>
      </c>
      <c r="C31" s="51">
        <v>7</v>
      </c>
      <c r="D31" s="58">
        <v>0.8</v>
      </c>
      <c r="E31" s="48">
        <f t="shared" si="6"/>
        <v>0.47589285714285712</v>
      </c>
      <c r="F31" s="49">
        <f t="shared" si="7"/>
        <v>-0.32410714285714293</v>
      </c>
      <c r="G31" s="59">
        <f t="array" ref="G31">SUM(IF($A31=$AD$39:$AD$149,G$39:G$149,0))</f>
        <v>131</v>
      </c>
      <c r="H31" s="56">
        <f t="array" ref="H31">SUM(IF($A31=$AD$39:$AD$149,H$39:H$149,0))</f>
        <v>133.25</v>
      </c>
      <c r="I31" s="56">
        <f t="shared" si="8"/>
        <v>2.25</v>
      </c>
      <c r="J31" s="56"/>
      <c r="K31" s="56"/>
      <c r="L31" s="50">
        <f t="array" ref="L31">SUM(IF($A31=$AD$39:$AD$149,L$39:L$149,0))</f>
        <v>185.32000000000002</v>
      </c>
      <c r="M31" s="53">
        <f t="array" ref="M31">SUM(IF($A31=$AD$39:$AD$149,M$39:M$149,0))</f>
        <v>0</v>
      </c>
      <c r="N31" s="25">
        <f t="array" ref="N31">SUM(IF($A31=$AD$39:$AD$149,N$39:N$149,0))</f>
        <v>0</v>
      </c>
      <c r="O31" s="25">
        <f t="array" ref="O31">SUM(IF($A31=$AD$39:$AD$149,O$39:O$149,0))</f>
        <v>0</v>
      </c>
      <c r="P31" s="51">
        <f t="array" ref="P31">SUM(IF($A31=$AD$39:$AD$149,P$39:P$149,0))</f>
        <v>0</v>
      </c>
      <c r="Q31" s="50">
        <f t="array" ref="Q31">SUM(IF($A31=$AD$39:$AD$149,Q$39:Q$149,0))</f>
        <v>182</v>
      </c>
      <c r="R31" s="53">
        <f t="array" ref="R31">SUM(IF($A31=$AD$39:$AD$149,R$39:R$149,0))</f>
        <v>20</v>
      </c>
      <c r="S31" s="25">
        <f t="array" ref="S31">SUM(IF($A31=$AD$39:$AD$149,S$39:S$149,0))</f>
        <v>0</v>
      </c>
      <c r="T31" s="25">
        <f t="array" ref="T31">SUM(IF($A31=$AD$39:$AD$149,T$39:T$149,0))</f>
        <v>0</v>
      </c>
      <c r="U31" s="51">
        <f t="array" ref="U31">SUM(IF($A31=$AD$39:$AD$149,U$39:U$149,0))</f>
        <v>0</v>
      </c>
      <c r="V31" s="54">
        <v>0.47633928571428569</v>
      </c>
      <c r="W31" s="55">
        <v>0.59733286629303439</v>
      </c>
      <c r="Y31" s="56"/>
      <c r="AA31" s="44"/>
    </row>
    <row r="32" spans="1:27" x14ac:dyDescent="0.25">
      <c r="A32" s="57" t="s">
        <v>47</v>
      </c>
      <c r="B32" s="56">
        <v>40</v>
      </c>
      <c r="C32" s="51">
        <v>1</v>
      </c>
      <c r="D32" s="58">
        <v>0.3</v>
      </c>
      <c r="E32" s="48">
        <f t="shared" si="6"/>
        <v>0</v>
      </c>
      <c r="F32" s="49">
        <f t="shared" si="7"/>
        <v>-0.3</v>
      </c>
      <c r="G32" s="59">
        <f t="array" ref="G32">SUM(IF($A32=$AD$39:$AD$149,G$39:G$149,0))</f>
        <v>0</v>
      </c>
      <c r="H32" s="56">
        <f t="array" ref="H32">SUM(IF($A32=$AD$39:$AD$149,H$39:H$149,0))</f>
        <v>0</v>
      </c>
      <c r="I32" s="56">
        <f t="shared" si="8"/>
        <v>0</v>
      </c>
      <c r="J32" s="56"/>
      <c r="K32" s="56"/>
      <c r="L32" s="50">
        <f t="array" ref="L32">SUM(IF($A32=$AD$39:$AD$149,L$39:L$149,0))</f>
        <v>0</v>
      </c>
      <c r="M32" s="53">
        <f t="array" ref="M32">SUM(IF($A32=$AD$39:$AD$149,M$39:M$149,0))</f>
        <v>0</v>
      </c>
      <c r="N32" s="25">
        <f t="array" ref="N32">SUM(IF($A32=$AD$39:$AD$149,N$39:N$149,0))</f>
        <v>0</v>
      </c>
      <c r="O32" s="25">
        <f t="array" ref="O32">SUM(IF($A32=$AD$39:$AD$149,O$39:O$149,0))</f>
        <v>0</v>
      </c>
      <c r="P32" s="51">
        <f t="array" ref="P32">SUM(IF($A32=$AD$39:$AD$149,P$39:P$149,0))</f>
        <v>0</v>
      </c>
      <c r="Q32" s="50">
        <f t="array" ref="Q32">SUM(IF($A32=$AD$39:$AD$149,Q$39:Q$149,0))</f>
        <v>0</v>
      </c>
      <c r="R32" s="53">
        <f t="array" ref="R32">SUM(IF($A32=$AD$39:$AD$149,R$39:R$149,0))</f>
        <v>0</v>
      </c>
      <c r="S32" s="25">
        <f t="array" ref="S32">SUM(IF($A32=$AD$39:$AD$149,S$39:S$149,0))</f>
        <v>0</v>
      </c>
      <c r="T32" s="25">
        <f t="array" ref="T32">SUM(IF($A32=$AD$39:$AD$149,T$39:T$149,0))</f>
        <v>0</v>
      </c>
      <c r="U32" s="51">
        <f t="array" ref="U32">SUM(IF($A32=$AD$39:$AD$149,U$39:U$149,0))</f>
        <v>0</v>
      </c>
      <c r="V32" s="54">
        <v>0</v>
      </c>
      <c r="W32" s="55">
        <v>0</v>
      </c>
      <c r="Y32" s="56"/>
      <c r="AA32" s="44"/>
    </row>
    <row r="33" spans="1:38" x14ac:dyDescent="0.25">
      <c r="A33" s="57" t="s">
        <v>48</v>
      </c>
      <c r="B33" s="56">
        <v>560</v>
      </c>
      <c r="C33" s="51">
        <v>14</v>
      </c>
      <c r="D33" s="58">
        <v>0.79285714285714282</v>
      </c>
      <c r="E33" s="48">
        <f t="shared" si="6"/>
        <v>0.88571428571428568</v>
      </c>
      <c r="F33" s="49">
        <f t="shared" si="7"/>
        <v>9.285714285714286E-2</v>
      </c>
      <c r="G33" s="59">
        <f t="array" ref="G33">SUM(IF($A33=$AD$39:$AD$149,G$39:G$149,0))</f>
        <v>516</v>
      </c>
      <c r="H33" s="56">
        <f t="array" ref="H33">SUM(IF($A33=$AD$39:$AD$149,H$39:H$149,0))</f>
        <v>496</v>
      </c>
      <c r="I33" s="56">
        <f t="shared" si="8"/>
        <v>-20</v>
      </c>
      <c r="J33" s="56"/>
      <c r="K33" s="56"/>
      <c r="L33" s="50">
        <f t="array" ref="L33">SUM(IF($A33=$AD$39:$AD$149,L$39:L$149,0))</f>
        <v>429</v>
      </c>
      <c r="M33" s="53">
        <f t="array" ref="M33">SUM(IF($A33=$AD$39:$AD$149,M$39:M$149,0))</f>
        <v>0</v>
      </c>
      <c r="N33" s="25">
        <f t="array" ref="N33">SUM(IF($A33=$AD$39:$AD$149,N$39:N$149,0))</f>
        <v>0</v>
      </c>
      <c r="O33" s="25">
        <f t="array" ref="O33">SUM(IF($A33=$AD$39:$AD$149,O$39:O$149,0))</f>
        <v>0</v>
      </c>
      <c r="P33" s="51">
        <f t="array" ref="P33">SUM(IF($A33=$AD$39:$AD$149,P$39:P$149,0))</f>
        <v>96</v>
      </c>
      <c r="Q33" s="50">
        <f t="array" ref="Q33">SUM(IF($A33=$AD$39:$AD$149,Q$39:Q$149,0))</f>
        <v>486</v>
      </c>
      <c r="R33" s="53">
        <f t="array" ref="R33">SUM(IF($A33=$AD$39:$AD$149,R$39:R$149,0))</f>
        <v>0</v>
      </c>
      <c r="S33" s="25">
        <f t="array" ref="S33">SUM(IF($A33=$AD$39:$AD$149,S$39:S$149,0))</f>
        <v>0</v>
      </c>
      <c r="T33" s="25">
        <f t="array" ref="T33">SUM(IF($A33=$AD$39:$AD$149,T$39:T$149,0))</f>
        <v>0</v>
      </c>
      <c r="U33" s="51">
        <f t="array" ref="U33">SUM(IF($A33=$AD$39:$AD$149,U$39:U$149,0))</f>
        <v>16</v>
      </c>
      <c r="V33" s="54">
        <v>0.89051724137931032</v>
      </c>
      <c r="W33" s="55">
        <v>0.78949478785662042</v>
      </c>
      <c r="Y33" s="56"/>
      <c r="AA33" s="44"/>
    </row>
    <row r="34" spans="1:38" ht="15.75" thickBot="1" x14ac:dyDescent="0.3">
      <c r="A34" s="57" t="s">
        <v>49</v>
      </c>
      <c r="B34" s="56">
        <v>240</v>
      </c>
      <c r="C34" s="51">
        <v>6</v>
      </c>
      <c r="D34" s="58">
        <v>0.3</v>
      </c>
      <c r="E34" s="48">
        <f t="shared" si="6"/>
        <v>0.33541666666666664</v>
      </c>
      <c r="F34" s="49">
        <f t="shared" si="7"/>
        <v>3.5416666666666652E-2</v>
      </c>
      <c r="G34" s="59">
        <f t="array" ref="G34">SUM(IF($A34=$AD$39:$AD$149,G$39:G$149,0))</f>
        <v>101</v>
      </c>
      <c r="H34" s="56">
        <f t="array" ref="H34">SUM(IF($A34=$AD$39:$AD$149,H$39:H$149,0))</f>
        <v>80.5</v>
      </c>
      <c r="I34" s="56">
        <f t="shared" si="8"/>
        <v>-20.5</v>
      </c>
      <c r="J34" s="56"/>
      <c r="K34" s="56"/>
      <c r="L34" s="50">
        <f t="array" ref="L34">SUM(IF($A34=$AD$39:$AD$149,L$39:L$149,0))</f>
        <v>74</v>
      </c>
      <c r="M34" s="53">
        <f t="array" ref="M34">SUM(IF($A34=$AD$39:$AD$149,M$39:M$149,0))</f>
        <v>0</v>
      </c>
      <c r="N34" s="25">
        <f t="array" ref="N34">SUM(IF($A34=$AD$39:$AD$149,N$39:N$149,0))</f>
        <v>0</v>
      </c>
      <c r="O34" s="25">
        <f t="array" ref="O34">SUM(IF($A34=$AD$39:$AD$149,O$39:O$149,0))</f>
        <v>0</v>
      </c>
      <c r="P34" s="51">
        <f t="array" ref="P34">SUM(IF($A34=$AD$39:$AD$149,P$39:P$149,0))</f>
        <v>2.4</v>
      </c>
      <c r="Q34" s="50">
        <f t="array" ref="Q34">SUM(IF($A34=$AD$39:$AD$149,Q$39:Q$149,0))</f>
        <v>71.009999999999991</v>
      </c>
      <c r="R34" s="53">
        <f t="array" ref="R34">SUM(IF($A34=$AD$39:$AD$149,R$39:R$149,0))</f>
        <v>0</v>
      </c>
      <c r="S34" s="25">
        <f t="array" ref="S34">SUM(IF($A34=$AD$39:$AD$149,S$39:S$149,0))</f>
        <v>0</v>
      </c>
      <c r="T34" s="25">
        <f t="array" ref="T34">SUM(IF($A34=$AD$39:$AD$149,T$39:T$149,0))</f>
        <v>0</v>
      </c>
      <c r="U34" s="51">
        <f t="array" ref="U34">SUM(IF($A34=$AD$39:$AD$149,U$39:U$149,0))</f>
        <v>2.4</v>
      </c>
      <c r="V34" s="54">
        <v>0.28125</v>
      </c>
      <c r="W34" s="55">
        <v>0.27406972543352603</v>
      </c>
      <c r="Y34" s="56"/>
      <c r="AA34" s="44"/>
    </row>
    <row r="35" spans="1:38" ht="15.75" thickBot="1" x14ac:dyDescent="0.3">
      <c r="A35" s="61" t="s">
        <v>33</v>
      </c>
      <c r="B35" s="62">
        <f>SUM(B18:B34)</f>
        <v>3320</v>
      </c>
      <c r="C35" s="63">
        <f>SUM(C18:C34)</f>
        <v>83</v>
      </c>
      <c r="D35" s="64"/>
      <c r="E35" s="65"/>
      <c r="F35" s="66"/>
      <c r="G35" s="67">
        <f t="shared" ref="G35:U35" si="9">SUM(G18:G34)</f>
        <v>2119.5</v>
      </c>
      <c r="H35" s="68">
        <f t="shared" si="9"/>
        <v>2084.75</v>
      </c>
      <c r="I35" s="68">
        <f t="shared" si="9"/>
        <v>-34.75</v>
      </c>
      <c r="J35" s="68"/>
      <c r="K35" s="68"/>
      <c r="L35" s="69">
        <f t="shared" si="9"/>
        <v>2104.83</v>
      </c>
      <c r="M35" s="70">
        <f t="shared" si="9"/>
        <v>0</v>
      </c>
      <c r="N35" s="70">
        <f t="shared" si="9"/>
        <v>0</v>
      </c>
      <c r="O35" s="70">
        <f t="shared" si="9"/>
        <v>0</v>
      </c>
      <c r="P35" s="71">
        <f t="shared" si="9"/>
        <v>122.4</v>
      </c>
      <c r="Q35" s="69">
        <f t="shared" si="9"/>
        <v>2179.0100000000002</v>
      </c>
      <c r="R35" s="70">
        <f t="shared" si="9"/>
        <v>20</v>
      </c>
      <c r="S35" s="70">
        <f t="shared" si="9"/>
        <v>0</v>
      </c>
      <c r="T35" s="70">
        <f t="shared" si="9"/>
        <v>0</v>
      </c>
      <c r="U35" s="71">
        <f t="shared" si="9"/>
        <v>34.4</v>
      </c>
      <c r="V35" s="72">
        <v>0.62213541666666672</v>
      </c>
      <c r="W35" s="73">
        <v>0.61861877568896995</v>
      </c>
      <c r="Y35" s="56"/>
      <c r="AA35" s="44"/>
    </row>
    <row r="36" spans="1:38" ht="16.5" thickTop="1" thickBot="1" x14ac:dyDescent="0.3">
      <c r="A36" s="75"/>
      <c r="G36" s="76"/>
      <c r="H36" s="76"/>
      <c r="I36" s="76"/>
      <c r="J36" s="76"/>
      <c r="K36" s="76"/>
      <c r="L36" s="65"/>
      <c r="M36" s="77"/>
      <c r="N36" s="78"/>
      <c r="O36" s="78"/>
      <c r="P36" s="65"/>
      <c r="Q36" s="65"/>
      <c r="R36" s="77"/>
      <c r="S36" s="78"/>
      <c r="T36" s="78"/>
      <c r="U36" s="65"/>
      <c r="Y36" s="56"/>
      <c r="AA36" s="44"/>
    </row>
    <row r="37" spans="1:38" ht="18" thickTop="1" x14ac:dyDescent="0.4">
      <c r="A37" s="150" t="s">
        <v>50</v>
      </c>
      <c r="B37" s="150"/>
      <c r="C37" s="150"/>
      <c r="D37" s="80"/>
      <c r="E37" s="81"/>
      <c r="F37" s="82"/>
      <c r="G37" s="83"/>
      <c r="H37" s="84"/>
      <c r="I37" s="37"/>
      <c r="J37" s="37"/>
      <c r="K37" s="37"/>
      <c r="L37" s="85"/>
      <c r="M37" s="86"/>
      <c r="N37" s="86"/>
      <c r="O37" s="86"/>
      <c r="P37" s="87"/>
      <c r="Q37" s="85"/>
      <c r="R37" s="86"/>
      <c r="S37" s="86"/>
      <c r="T37" s="86"/>
      <c r="U37" s="87"/>
      <c r="V37" s="88"/>
      <c r="W37" s="89"/>
      <c r="X37" s="42"/>
      <c r="Y37" s="43"/>
      <c r="AA37" s="44"/>
    </row>
    <row r="38" spans="1:38" ht="16.5" x14ac:dyDescent="0.35">
      <c r="A38" s="45" t="s">
        <v>32</v>
      </c>
      <c r="B38" s="90" t="s">
        <v>51</v>
      </c>
      <c r="C38" s="90" t="s">
        <v>52</v>
      </c>
      <c r="D38" s="91"/>
      <c r="E38" s="65"/>
      <c r="F38" s="92"/>
      <c r="G38" s="50"/>
      <c r="H38" s="51"/>
      <c r="I38" s="52"/>
      <c r="J38" s="52"/>
      <c r="K38" s="52"/>
      <c r="L38" s="93"/>
      <c r="M38" s="94"/>
      <c r="N38" s="94"/>
      <c r="O38" s="94"/>
      <c r="P38" s="95"/>
      <c r="Q38" s="93"/>
      <c r="R38" s="94"/>
      <c r="S38" s="94"/>
      <c r="T38" s="94"/>
      <c r="U38" s="95"/>
      <c r="V38" s="72"/>
      <c r="W38" s="73"/>
      <c r="AC38" s="97"/>
      <c r="AD38" s="97"/>
    </row>
    <row r="39" spans="1:38" x14ac:dyDescent="0.25">
      <c r="A39" s="98"/>
      <c r="B39" s="99" t="s">
        <v>53</v>
      </c>
      <c r="C39" s="100" t="s">
        <v>54</v>
      </c>
      <c r="D39" s="58">
        <v>0.3</v>
      </c>
      <c r="E39" s="48">
        <v>0</v>
      </c>
      <c r="F39" s="49">
        <f t="shared" ref="F39:F45" si="10">E39-D39</f>
        <v>-0.3</v>
      </c>
      <c r="G39" s="50">
        <v>0</v>
      </c>
      <c r="H39" s="51">
        <v>0</v>
      </c>
      <c r="I39" s="52">
        <f t="shared" ref="I39:I45" si="11">H39-G39</f>
        <v>0</v>
      </c>
      <c r="J39" s="52"/>
      <c r="K39" s="52"/>
      <c r="L39" s="50">
        <v>0</v>
      </c>
      <c r="M39" s="53">
        <v>0</v>
      </c>
      <c r="N39" s="25">
        <v>0</v>
      </c>
      <c r="O39" s="25">
        <v>0</v>
      </c>
      <c r="P39" s="51">
        <v>0</v>
      </c>
      <c r="Q39" s="50">
        <v>0</v>
      </c>
      <c r="R39" s="53">
        <v>0</v>
      </c>
      <c r="S39" s="25">
        <v>0</v>
      </c>
      <c r="T39" s="25">
        <v>0</v>
      </c>
      <c r="U39" s="51">
        <v>0</v>
      </c>
      <c r="V39" s="54">
        <v>0</v>
      </c>
      <c r="W39" s="55">
        <v>0</v>
      </c>
      <c r="X39" s="60"/>
      <c r="Y39" s="29">
        <v>0</v>
      </c>
      <c r="Z39" s="56"/>
      <c r="AA39" s="44" t="str">
        <f>_xlfn.CONCAT(B39," ",C39)</f>
        <v>Glenn Mate</v>
      </c>
      <c r="AB39" s="101"/>
      <c r="AC39" s="56" t="s">
        <v>32</v>
      </c>
      <c r="AD39" s="56" t="s">
        <v>47</v>
      </c>
      <c r="AI39" s="97"/>
      <c r="AJ39" s="97"/>
      <c r="AK39" s="102"/>
      <c r="AL39" s="102"/>
    </row>
    <row r="40" spans="1:38" x14ac:dyDescent="0.25">
      <c r="A40" s="98"/>
      <c r="B40" s="99" t="s">
        <v>55</v>
      </c>
      <c r="C40" s="100" t="s">
        <v>56</v>
      </c>
      <c r="D40" s="58">
        <v>0.3</v>
      </c>
      <c r="E40" s="48">
        <v>3.7499999999999999E-2</v>
      </c>
      <c r="F40" s="49">
        <f t="shared" si="10"/>
        <v>-0.26250000000000001</v>
      </c>
      <c r="G40" s="50">
        <v>5</v>
      </c>
      <c r="H40" s="51">
        <v>1.5</v>
      </c>
      <c r="I40" s="52">
        <f t="shared" si="11"/>
        <v>-3.5</v>
      </c>
      <c r="J40" s="52"/>
      <c r="K40" s="52"/>
      <c r="L40" s="50">
        <v>3</v>
      </c>
      <c r="M40" s="53">
        <v>0</v>
      </c>
      <c r="N40" s="25">
        <v>0</v>
      </c>
      <c r="O40" s="25">
        <v>0</v>
      </c>
      <c r="P40" s="51">
        <v>0</v>
      </c>
      <c r="Q40" s="50">
        <v>13</v>
      </c>
      <c r="R40" s="53">
        <v>0</v>
      </c>
      <c r="S40" s="25">
        <v>0</v>
      </c>
      <c r="T40" s="25">
        <v>0</v>
      </c>
      <c r="U40" s="51">
        <v>0</v>
      </c>
      <c r="V40" s="54">
        <v>1.8749999999999999E-2</v>
      </c>
      <c r="W40" s="55">
        <v>0.1437189054726368</v>
      </c>
      <c r="X40" s="60"/>
      <c r="Y40" s="29">
        <v>43.5</v>
      </c>
      <c r="Z40" s="56"/>
      <c r="AA40" s="44" t="str">
        <f t="shared" ref="AA40:AA43" si="12">_xlfn.CONCAT(B40," ",C40)</f>
        <v>Brent Clements</v>
      </c>
      <c r="AB40" s="101"/>
      <c r="AC40" s="56" t="s">
        <v>32</v>
      </c>
      <c r="AD40" s="56" t="s">
        <v>49</v>
      </c>
      <c r="AI40" s="97"/>
      <c r="AJ40" s="97"/>
      <c r="AK40" s="102"/>
      <c r="AL40" s="102"/>
    </row>
    <row r="41" spans="1:38" x14ac:dyDescent="0.25">
      <c r="A41" s="98"/>
      <c r="B41" s="99" t="s">
        <v>57</v>
      </c>
      <c r="C41" s="100" t="s">
        <v>58</v>
      </c>
      <c r="D41" s="58">
        <v>0.3</v>
      </c>
      <c r="E41" s="48">
        <v>0.52500000000000002</v>
      </c>
      <c r="F41" s="49">
        <f t="shared" si="10"/>
        <v>0.22500000000000003</v>
      </c>
      <c r="G41" s="50">
        <v>32</v>
      </c>
      <c r="H41" s="51">
        <v>21</v>
      </c>
      <c r="I41" s="52">
        <f t="shared" si="11"/>
        <v>-11</v>
      </c>
      <c r="J41" s="52"/>
      <c r="K41" s="52"/>
      <c r="L41" s="50">
        <v>27</v>
      </c>
      <c r="M41" s="53">
        <v>0</v>
      </c>
      <c r="N41" s="25">
        <v>0</v>
      </c>
      <c r="O41" s="25">
        <v>0</v>
      </c>
      <c r="P41" s="51">
        <v>0</v>
      </c>
      <c r="Q41" s="50">
        <v>27</v>
      </c>
      <c r="R41" s="53">
        <v>0</v>
      </c>
      <c r="S41" s="25">
        <v>0</v>
      </c>
      <c r="T41" s="25">
        <v>0</v>
      </c>
      <c r="U41" s="51">
        <v>0</v>
      </c>
      <c r="V41" s="54">
        <v>0.63124999999999998</v>
      </c>
      <c r="W41" s="55">
        <v>0.42801616915422885</v>
      </c>
      <c r="X41" s="60"/>
      <c r="Y41" s="29">
        <v>44.5</v>
      </c>
      <c r="Z41" s="56"/>
      <c r="AA41" s="44" t="str">
        <f t="shared" si="12"/>
        <v>Ray Crawford</v>
      </c>
      <c r="AB41" s="101"/>
      <c r="AC41" s="56" t="s">
        <v>32</v>
      </c>
      <c r="AD41" s="56" t="s">
        <v>49</v>
      </c>
      <c r="AI41" s="97"/>
      <c r="AJ41" s="97"/>
      <c r="AK41" s="102"/>
      <c r="AL41" s="102"/>
    </row>
    <row r="42" spans="1:38" x14ac:dyDescent="0.25">
      <c r="A42" s="98"/>
      <c r="B42" s="99" t="s">
        <v>59</v>
      </c>
      <c r="C42" s="100" t="s">
        <v>60</v>
      </c>
      <c r="D42" s="58">
        <v>0.3</v>
      </c>
      <c r="E42" s="48">
        <v>0.4</v>
      </c>
      <c r="F42" s="49">
        <f t="shared" si="10"/>
        <v>0.10000000000000003</v>
      </c>
      <c r="G42" s="50">
        <v>11</v>
      </c>
      <c r="H42" s="51">
        <v>16</v>
      </c>
      <c r="I42" s="52">
        <f t="shared" si="11"/>
        <v>5</v>
      </c>
      <c r="J42" s="52"/>
      <c r="K42" s="52"/>
      <c r="L42" s="50">
        <v>7</v>
      </c>
      <c r="M42" s="53">
        <v>0</v>
      </c>
      <c r="N42" s="25">
        <v>0</v>
      </c>
      <c r="O42" s="25">
        <v>0</v>
      </c>
      <c r="P42" s="51">
        <v>0</v>
      </c>
      <c r="Q42" s="50">
        <v>6.01</v>
      </c>
      <c r="R42" s="53">
        <v>0</v>
      </c>
      <c r="S42" s="25">
        <v>0</v>
      </c>
      <c r="T42" s="25">
        <v>0</v>
      </c>
      <c r="U42" s="51">
        <v>2.4</v>
      </c>
      <c r="V42" s="54">
        <v>0.3125</v>
      </c>
      <c r="W42" s="55">
        <v>0.37313432835820898</v>
      </c>
      <c r="X42" s="60"/>
      <c r="Y42" s="29">
        <v>40</v>
      </c>
      <c r="Z42" s="56"/>
      <c r="AA42" s="44" t="str">
        <f t="shared" si="12"/>
        <v>Colin Dembovsky</v>
      </c>
      <c r="AB42" s="101"/>
      <c r="AC42" s="56" t="s">
        <v>32</v>
      </c>
      <c r="AD42" s="56" t="s">
        <v>49</v>
      </c>
      <c r="AI42" s="97"/>
      <c r="AJ42" s="97"/>
      <c r="AK42" s="103"/>
      <c r="AL42" s="104"/>
    </row>
    <row r="43" spans="1:38" x14ac:dyDescent="0.25">
      <c r="A43" s="98"/>
      <c r="B43" s="98" t="s">
        <v>61</v>
      </c>
      <c r="C43" s="98" t="s">
        <v>62</v>
      </c>
      <c r="D43" s="58">
        <v>0.3</v>
      </c>
      <c r="E43" s="48">
        <v>0</v>
      </c>
      <c r="F43" s="49">
        <f t="shared" si="10"/>
        <v>-0.3</v>
      </c>
      <c r="G43" s="50">
        <v>8</v>
      </c>
      <c r="H43" s="51">
        <v>0</v>
      </c>
      <c r="I43" s="52">
        <f t="shared" si="11"/>
        <v>-8</v>
      </c>
      <c r="J43" s="52"/>
      <c r="K43" s="52"/>
      <c r="L43" s="50">
        <v>0</v>
      </c>
      <c r="M43" s="53">
        <v>0</v>
      </c>
      <c r="N43" s="25">
        <v>0</v>
      </c>
      <c r="O43" s="25">
        <v>0</v>
      </c>
      <c r="P43" s="51">
        <v>0</v>
      </c>
      <c r="Q43" s="50">
        <v>0</v>
      </c>
      <c r="R43" s="53">
        <v>0</v>
      </c>
      <c r="S43" s="25">
        <v>0</v>
      </c>
      <c r="T43" s="25">
        <v>0</v>
      </c>
      <c r="U43" s="51">
        <v>0</v>
      </c>
      <c r="V43" s="54">
        <v>0</v>
      </c>
      <c r="W43" s="55">
        <v>8.2276119402985085E-2</v>
      </c>
      <c r="X43" s="60"/>
      <c r="Y43" s="29">
        <v>40</v>
      </c>
      <c r="Z43" s="56"/>
      <c r="AA43" s="44" t="str">
        <f t="shared" si="12"/>
        <v>Ryan Gonzalez</v>
      </c>
      <c r="AC43" s="56" t="s">
        <v>32</v>
      </c>
      <c r="AD43" s="56" t="s">
        <v>49</v>
      </c>
      <c r="AI43" s="97"/>
      <c r="AJ43" s="97"/>
      <c r="AK43" s="103"/>
      <c r="AL43" s="104"/>
    </row>
    <row r="44" spans="1:38" x14ac:dyDescent="0.25">
      <c r="A44" s="98"/>
      <c r="B44" s="98" t="s">
        <v>63</v>
      </c>
      <c r="C44" s="98" t="s">
        <v>64</v>
      </c>
      <c r="D44" s="58">
        <v>0.3</v>
      </c>
      <c r="E44" s="48">
        <v>0</v>
      </c>
      <c r="F44" s="49">
        <f t="shared" si="10"/>
        <v>-0.3</v>
      </c>
      <c r="G44" s="50">
        <v>3</v>
      </c>
      <c r="H44" s="51">
        <v>0</v>
      </c>
      <c r="I44" s="52">
        <f t="shared" si="11"/>
        <v>-3</v>
      </c>
      <c r="J44" s="52"/>
      <c r="K44" s="52"/>
      <c r="L44" s="50">
        <v>3</v>
      </c>
      <c r="M44" s="53">
        <v>0</v>
      </c>
      <c r="N44" s="25">
        <v>0</v>
      </c>
      <c r="O44" s="25">
        <v>0</v>
      </c>
      <c r="P44" s="51">
        <v>0</v>
      </c>
      <c r="Q44" s="50">
        <v>3</v>
      </c>
      <c r="R44" s="53">
        <v>0</v>
      </c>
      <c r="S44" s="25">
        <v>0</v>
      </c>
      <c r="T44" s="25">
        <v>0</v>
      </c>
      <c r="U44" s="51">
        <v>0</v>
      </c>
      <c r="V44" s="54">
        <v>2.5000000000000001E-2</v>
      </c>
      <c r="W44" s="55">
        <v>0.18042883211678831</v>
      </c>
      <c r="X44" s="60"/>
      <c r="Y44" s="29">
        <v>40</v>
      </c>
      <c r="Z44" s="56"/>
      <c r="AA44" s="44" t="str">
        <f>_xlfn.CONCAT(B44," ",C44)</f>
        <v>Matt Park</v>
      </c>
      <c r="AC44" s="56" t="s">
        <v>32</v>
      </c>
      <c r="AD44" s="56" t="s">
        <v>49</v>
      </c>
      <c r="AF44" s="98"/>
      <c r="AG44" s="98"/>
      <c r="AH44" s="98"/>
      <c r="AI44" s="97"/>
      <c r="AJ44" s="97"/>
      <c r="AK44" s="103"/>
      <c r="AL44" s="104"/>
    </row>
    <row r="45" spans="1:38" x14ac:dyDescent="0.25">
      <c r="A45" s="98"/>
      <c r="B45" s="98" t="s">
        <v>65</v>
      </c>
      <c r="C45" s="98" t="s">
        <v>66</v>
      </c>
      <c r="D45" s="58">
        <v>0.3</v>
      </c>
      <c r="E45" s="48">
        <v>1.05</v>
      </c>
      <c r="F45" s="49">
        <f t="shared" si="10"/>
        <v>0.75</v>
      </c>
      <c r="G45" s="50">
        <v>42</v>
      </c>
      <c r="H45" s="51">
        <v>42</v>
      </c>
      <c r="I45" s="52">
        <f t="shared" si="11"/>
        <v>0</v>
      </c>
      <c r="J45" s="52"/>
      <c r="K45" s="52"/>
      <c r="L45" s="50">
        <v>34</v>
      </c>
      <c r="M45" s="53">
        <v>0</v>
      </c>
      <c r="N45" s="25">
        <v>0</v>
      </c>
      <c r="O45" s="25">
        <v>0</v>
      </c>
      <c r="P45" s="51">
        <v>2.4</v>
      </c>
      <c r="Q45" s="50">
        <v>22</v>
      </c>
      <c r="R45" s="53">
        <v>0</v>
      </c>
      <c r="S45" s="25">
        <v>0</v>
      </c>
      <c r="T45" s="25">
        <v>0</v>
      </c>
      <c r="U45" s="51">
        <v>0</v>
      </c>
      <c r="V45" s="54">
        <v>0.7</v>
      </c>
      <c r="W45" s="55">
        <v>0.21223591549295776</v>
      </c>
      <c r="X45" s="60"/>
      <c r="Y45" s="29">
        <v>45</v>
      </c>
      <c r="Z45" s="56"/>
      <c r="AA45" s="44" t="str">
        <f>_xlfn.CONCAT(B45," ",C45)</f>
        <v>Scott Thomas</v>
      </c>
      <c r="AC45" s="56" t="s">
        <v>32</v>
      </c>
      <c r="AD45" s="56" t="s">
        <v>49</v>
      </c>
      <c r="AF45" s="98"/>
      <c r="AG45" s="98"/>
      <c r="AH45" s="98"/>
      <c r="AI45" s="97"/>
      <c r="AJ45" s="97"/>
      <c r="AK45" s="103"/>
      <c r="AL45" s="104"/>
    </row>
    <row r="46" spans="1:38" ht="16.5" x14ac:dyDescent="0.35">
      <c r="A46" s="45" t="s">
        <v>67</v>
      </c>
      <c r="B46" s="98"/>
      <c r="C46" s="105"/>
      <c r="D46" s="106"/>
      <c r="E46" s="48"/>
      <c r="F46" s="49"/>
      <c r="G46" s="50"/>
      <c r="H46" s="51"/>
      <c r="I46" s="52"/>
      <c r="J46" s="52"/>
      <c r="K46" s="52"/>
      <c r="L46" s="50"/>
      <c r="M46" s="53"/>
      <c r="N46" s="25"/>
      <c r="O46" s="25"/>
      <c r="P46" s="51"/>
      <c r="Q46" s="50"/>
      <c r="R46" s="53"/>
      <c r="S46" s="25"/>
      <c r="T46" s="25"/>
      <c r="U46" s="51"/>
      <c r="V46" s="54"/>
      <c r="W46" s="55"/>
      <c r="X46" s="60"/>
      <c r="Y46" s="29"/>
      <c r="Z46" s="56"/>
      <c r="AA46" s="44"/>
      <c r="AC46" s="56"/>
      <c r="AD46" s="56"/>
      <c r="AF46" s="98"/>
      <c r="AG46" s="98"/>
      <c r="AH46" s="98"/>
      <c r="AI46" s="97"/>
      <c r="AJ46" s="97"/>
      <c r="AK46" s="103"/>
      <c r="AL46" s="104"/>
    </row>
    <row r="47" spans="1:38" x14ac:dyDescent="0.25">
      <c r="A47" s="98"/>
      <c r="B47" s="98" t="s">
        <v>68</v>
      </c>
      <c r="C47" s="105" t="s">
        <v>69</v>
      </c>
      <c r="D47" s="58">
        <v>0.7</v>
      </c>
      <c r="E47" s="48">
        <v>1</v>
      </c>
      <c r="F47" s="49">
        <f t="shared" ref="F47:F53" si="13">E47-D47</f>
        <v>0.30000000000000004</v>
      </c>
      <c r="G47" s="50">
        <v>40</v>
      </c>
      <c r="H47" s="51">
        <v>40</v>
      </c>
      <c r="I47" s="52">
        <f t="shared" ref="I47:I53" si="14">H47-G47</f>
        <v>0</v>
      </c>
      <c r="J47" s="52"/>
      <c r="K47" s="52"/>
      <c r="L47" s="50">
        <v>36.010000000000005</v>
      </c>
      <c r="M47" s="53">
        <v>0</v>
      </c>
      <c r="N47" s="25">
        <v>0</v>
      </c>
      <c r="O47" s="25">
        <v>0</v>
      </c>
      <c r="P47" s="51">
        <v>0</v>
      </c>
      <c r="Q47" s="50">
        <v>40</v>
      </c>
      <c r="R47" s="53">
        <v>0</v>
      </c>
      <c r="S47" s="25">
        <v>0</v>
      </c>
      <c r="T47" s="25">
        <v>0</v>
      </c>
      <c r="U47" s="51">
        <v>0</v>
      </c>
      <c r="V47" s="54">
        <v>1</v>
      </c>
      <c r="W47" s="55">
        <v>0.81731965174129351</v>
      </c>
      <c r="Y47" s="29">
        <v>44</v>
      </c>
      <c r="Z47" s="56"/>
      <c r="AA47" s="44" t="str">
        <f t="shared" ref="AA47" si="15">_xlfn.CONCAT(B47," ",C47)</f>
        <v>Nate Burleson</v>
      </c>
      <c r="AC47" s="56" t="s">
        <v>31</v>
      </c>
      <c r="AD47" s="56" t="s">
        <v>34</v>
      </c>
      <c r="AI47" s="97"/>
      <c r="AJ47" s="97"/>
      <c r="AK47" s="103"/>
      <c r="AL47" s="104"/>
    </row>
    <row r="48" spans="1:38" x14ac:dyDescent="0.25">
      <c r="A48" s="98"/>
      <c r="B48" s="99" t="s">
        <v>70</v>
      </c>
      <c r="C48" s="100" t="s">
        <v>71</v>
      </c>
      <c r="D48" s="58">
        <v>0.8</v>
      </c>
      <c r="E48" s="48">
        <v>0.41249999999999998</v>
      </c>
      <c r="F48" s="49">
        <f t="shared" si="13"/>
        <v>-0.38750000000000007</v>
      </c>
      <c r="G48" s="50">
        <v>22</v>
      </c>
      <c r="H48" s="51">
        <v>16.5</v>
      </c>
      <c r="I48" s="52">
        <f t="shared" si="14"/>
        <v>-5.5</v>
      </c>
      <c r="J48" s="52"/>
      <c r="K48" s="52"/>
      <c r="L48" s="50">
        <v>15</v>
      </c>
      <c r="M48" s="53">
        <v>0</v>
      </c>
      <c r="N48" s="25">
        <v>0</v>
      </c>
      <c r="O48" s="25">
        <v>0</v>
      </c>
      <c r="P48" s="51">
        <v>0</v>
      </c>
      <c r="Q48" s="50">
        <v>26</v>
      </c>
      <c r="R48" s="53">
        <v>0</v>
      </c>
      <c r="S48" s="25">
        <v>0</v>
      </c>
      <c r="T48" s="25">
        <v>0</v>
      </c>
      <c r="U48" s="51">
        <v>0</v>
      </c>
      <c r="V48" s="54">
        <v>0.46875</v>
      </c>
      <c r="W48" s="55">
        <v>0.97945654653284675</v>
      </c>
      <c r="X48" s="60"/>
      <c r="Y48" s="29">
        <v>40</v>
      </c>
      <c r="Z48" s="56"/>
      <c r="AA48" s="44" t="str">
        <f>_xlfn.CONCAT(B48," ",C48)</f>
        <v>Jonathan Bradshaw</v>
      </c>
      <c r="AB48" s="101"/>
      <c r="AC48" s="56" t="s">
        <v>31</v>
      </c>
      <c r="AD48" s="56" t="s">
        <v>34</v>
      </c>
      <c r="AI48" s="97"/>
      <c r="AJ48" s="97"/>
      <c r="AK48" s="102"/>
      <c r="AL48" s="102"/>
    </row>
    <row r="49" spans="1:38" x14ac:dyDescent="0.25">
      <c r="A49" s="98"/>
      <c r="B49" s="98" t="s">
        <v>72</v>
      </c>
      <c r="C49" s="105" t="s">
        <v>73</v>
      </c>
      <c r="D49" s="58">
        <v>0.8</v>
      </c>
      <c r="E49" s="48">
        <v>3.125E-2</v>
      </c>
      <c r="F49" s="49">
        <f t="shared" si="13"/>
        <v>-0.76875000000000004</v>
      </c>
      <c r="G49" s="50">
        <v>1</v>
      </c>
      <c r="H49" s="51">
        <v>1.25</v>
      </c>
      <c r="I49" s="52">
        <f t="shared" si="14"/>
        <v>0.25</v>
      </c>
      <c r="J49" s="52"/>
      <c r="K49" s="52"/>
      <c r="L49" s="50">
        <v>6</v>
      </c>
      <c r="M49" s="53">
        <v>0</v>
      </c>
      <c r="N49" s="25">
        <v>0</v>
      </c>
      <c r="O49" s="25">
        <v>0</v>
      </c>
      <c r="P49" s="51">
        <v>0</v>
      </c>
      <c r="Q49" s="50">
        <v>12</v>
      </c>
      <c r="R49" s="53">
        <v>0</v>
      </c>
      <c r="S49" s="25">
        <v>0</v>
      </c>
      <c r="T49" s="25">
        <v>0</v>
      </c>
      <c r="U49" s="51">
        <v>0</v>
      </c>
      <c r="V49" s="54">
        <v>4.6875E-2</v>
      </c>
      <c r="W49" s="55">
        <v>0.25827095808383232</v>
      </c>
      <c r="Y49" s="29">
        <v>40</v>
      </c>
      <c r="Z49" s="56"/>
      <c r="AA49" s="44" t="str">
        <f>_xlfn.CONCAT(B49," ",C49)</f>
        <v>Drake Fisher</v>
      </c>
      <c r="AC49" s="56" t="s">
        <v>31</v>
      </c>
      <c r="AD49" s="56" t="s">
        <v>46</v>
      </c>
      <c r="AI49" s="97"/>
      <c r="AJ49" s="97"/>
      <c r="AK49" s="103"/>
      <c r="AL49" s="104"/>
    </row>
    <row r="50" spans="1:38" x14ac:dyDescent="0.25">
      <c r="A50" s="98"/>
      <c r="B50" s="98" t="s">
        <v>74</v>
      </c>
      <c r="C50" s="105" t="s">
        <v>75</v>
      </c>
      <c r="D50" s="58">
        <v>0.8</v>
      </c>
      <c r="E50" s="48">
        <v>0.96250000000000002</v>
      </c>
      <c r="F50" s="49">
        <f t="shared" si="13"/>
        <v>0.16249999999999998</v>
      </c>
      <c r="G50" s="50">
        <v>40</v>
      </c>
      <c r="H50" s="51">
        <v>38.5</v>
      </c>
      <c r="I50" s="52">
        <f t="shared" si="14"/>
        <v>-1.5</v>
      </c>
      <c r="J50" s="52"/>
      <c r="K50" s="52"/>
      <c r="L50" s="50">
        <v>40</v>
      </c>
      <c r="M50" s="53">
        <v>0</v>
      </c>
      <c r="N50" s="25">
        <v>0</v>
      </c>
      <c r="O50" s="25">
        <v>0</v>
      </c>
      <c r="P50" s="51">
        <v>0</v>
      </c>
      <c r="Q50" s="50">
        <v>40</v>
      </c>
      <c r="R50" s="53">
        <v>0</v>
      </c>
      <c r="S50" s="25">
        <v>0</v>
      </c>
      <c r="T50" s="25">
        <v>0</v>
      </c>
      <c r="U50" s="51">
        <v>0</v>
      </c>
      <c r="V50" s="54">
        <v>0.61875000000000002</v>
      </c>
      <c r="W50" s="55">
        <v>4.6968750000000004</v>
      </c>
      <c r="Y50" s="29">
        <v>40</v>
      </c>
      <c r="Z50" s="56"/>
      <c r="AA50" s="44" t="str">
        <f>_xlfn.CONCAT(B50," ",C50)</f>
        <v>Demetri Maltsiniotis</v>
      </c>
      <c r="AC50" s="56" t="s">
        <v>31</v>
      </c>
      <c r="AD50" s="56" t="s">
        <v>34</v>
      </c>
      <c r="AI50" s="97"/>
      <c r="AJ50" s="97"/>
      <c r="AK50" s="103"/>
      <c r="AL50" s="104"/>
    </row>
    <row r="51" spans="1:38" x14ac:dyDescent="0.25">
      <c r="A51" s="98"/>
      <c r="B51" s="98" t="s">
        <v>76</v>
      </c>
      <c r="C51" s="105" t="s">
        <v>77</v>
      </c>
      <c r="D51" s="58">
        <v>0.8</v>
      </c>
      <c r="E51" s="48">
        <v>1</v>
      </c>
      <c r="F51" s="49">
        <f t="shared" si="13"/>
        <v>0.19999999999999996</v>
      </c>
      <c r="G51" s="50">
        <v>40</v>
      </c>
      <c r="H51" s="51">
        <v>40</v>
      </c>
      <c r="I51" s="52">
        <f t="shared" si="14"/>
        <v>0</v>
      </c>
      <c r="J51" s="52"/>
      <c r="K51" s="52"/>
      <c r="L51" s="50">
        <v>0</v>
      </c>
      <c r="M51" s="53">
        <v>0</v>
      </c>
      <c r="N51" s="25">
        <v>0</v>
      </c>
      <c r="O51" s="25">
        <v>0</v>
      </c>
      <c r="P51" s="51">
        <v>40</v>
      </c>
      <c r="Q51" s="50">
        <v>32</v>
      </c>
      <c r="R51" s="53">
        <v>0</v>
      </c>
      <c r="S51" s="25">
        <v>0</v>
      </c>
      <c r="T51" s="25">
        <v>0</v>
      </c>
      <c r="U51" s="51">
        <v>8</v>
      </c>
      <c r="V51" s="54">
        <v>1</v>
      </c>
      <c r="W51" s="55">
        <v>0.90625</v>
      </c>
      <c r="Y51" s="29">
        <v>44</v>
      </c>
      <c r="Z51" s="56"/>
      <c r="AA51" s="44" t="str">
        <f>_xlfn.CONCAT(B51," ",C51)</f>
        <v>John Ozarchuk</v>
      </c>
      <c r="AC51" s="56" t="s">
        <v>31</v>
      </c>
      <c r="AD51" s="56" t="s">
        <v>48</v>
      </c>
      <c r="AI51" s="97"/>
      <c r="AJ51" s="97"/>
      <c r="AK51" s="103"/>
      <c r="AL51" s="104"/>
    </row>
    <row r="52" spans="1:38" x14ac:dyDescent="0.25">
      <c r="A52" s="98"/>
      <c r="B52" s="98" t="s">
        <v>78</v>
      </c>
      <c r="C52" s="105" t="s">
        <v>79</v>
      </c>
      <c r="D52" s="58">
        <v>0.8</v>
      </c>
      <c r="E52" s="48">
        <v>0</v>
      </c>
      <c r="F52" s="49">
        <f t="shared" si="13"/>
        <v>-0.8</v>
      </c>
      <c r="G52" s="50">
        <v>0</v>
      </c>
      <c r="H52" s="51">
        <v>0</v>
      </c>
      <c r="I52" s="52">
        <f t="shared" si="14"/>
        <v>0</v>
      </c>
      <c r="J52" s="52"/>
      <c r="K52" s="52"/>
      <c r="L52" s="50">
        <v>2</v>
      </c>
      <c r="M52" s="53">
        <v>0</v>
      </c>
      <c r="N52" s="25">
        <v>0</v>
      </c>
      <c r="O52" s="25">
        <v>0</v>
      </c>
      <c r="P52" s="51">
        <v>0</v>
      </c>
      <c r="Q52" s="50">
        <v>6</v>
      </c>
      <c r="R52" s="53">
        <v>0</v>
      </c>
      <c r="S52" s="25">
        <v>0</v>
      </c>
      <c r="T52" s="25">
        <v>0</v>
      </c>
      <c r="U52" s="51">
        <v>0</v>
      </c>
      <c r="V52" s="54">
        <v>8.7499999999999994E-2</v>
      </c>
      <c r="W52" s="55">
        <v>2.5735294117647058E-2</v>
      </c>
      <c r="Y52" s="29">
        <v>40</v>
      </c>
      <c r="Z52" s="56"/>
      <c r="AA52" s="44" t="str">
        <f>_xlfn.CONCAT(B52," ",C52)</f>
        <v>Parth Thakkar</v>
      </c>
      <c r="AC52" s="56" t="s">
        <v>31</v>
      </c>
      <c r="AD52" s="56" t="s">
        <v>35</v>
      </c>
      <c r="AI52" s="97"/>
      <c r="AJ52" s="97"/>
      <c r="AK52" s="103"/>
      <c r="AL52" s="104"/>
    </row>
    <row r="53" spans="1:38" x14ac:dyDescent="0.25">
      <c r="A53" s="98"/>
      <c r="B53" s="98" t="s">
        <v>80</v>
      </c>
      <c r="C53" s="105" t="s">
        <v>81</v>
      </c>
      <c r="D53" s="58">
        <v>0.7</v>
      </c>
      <c r="E53" s="48">
        <v>1</v>
      </c>
      <c r="F53" s="49">
        <f t="shared" si="13"/>
        <v>0.30000000000000004</v>
      </c>
      <c r="G53" s="50">
        <v>40</v>
      </c>
      <c r="H53" s="51">
        <v>40</v>
      </c>
      <c r="I53" s="52">
        <f t="shared" si="14"/>
        <v>0</v>
      </c>
      <c r="J53" s="52"/>
      <c r="K53" s="52"/>
      <c r="L53" s="50">
        <v>40</v>
      </c>
      <c r="M53" s="53">
        <v>0</v>
      </c>
      <c r="N53" s="25">
        <v>0</v>
      </c>
      <c r="O53" s="25">
        <v>0</v>
      </c>
      <c r="P53" s="51">
        <v>0</v>
      </c>
      <c r="Q53" s="50">
        <v>40</v>
      </c>
      <c r="R53" s="53">
        <v>0</v>
      </c>
      <c r="S53" s="25">
        <v>0</v>
      </c>
      <c r="T53" s="25">
        <v>0</v>
      </c>
      <c r="U53" s="51">
        <v>0</v>
      </c>
      <c r="V53" s="54">
        <v>1.2250000000000001</v>
      </c>
      <c r="W53" s="55">
        <v>0.872978855721393</v>
      </c>
      <c r="X53" s="60"/>
      <c r="Y53" s="29">
        <v>63</v>
      </c>
      <c r="Z53" s="56"/>
      <c r="AA53" s="44" t="str">
        <f t="shared" ref="AA53" si="16">_xlfn.CONCAT(B53," ",C53)</f>
        <v>Shad Timm</v>
      </c>
      <c r="AC53" s="56" t="s">
        <v>31</v>
      </c>
      <c r="AD53" s="56" t="s">
        <v>34</v>
      </c>
      <c r="AI53" s="97"/>
      <c r="AJ53" s="97"/>
      <c r="AK53" s="103"/>
      <c r="AL53" s="104"/>
    </row>
    <row r="54" spans="1:38" ht="16.5" x14ac:dyDescent="0.35">
      <c r="A54" s="45" t="s">
        <v>82</v>
      </c>
      <c r="B54" s="98"/>
      <c r="C54" s="105"/>
      <c r="D54" s="106"/>
      <c r="E54" s="48"/>
      <c r="F54" s="49"/>
      <c r="G54" s="50"/>
      <c r="H54" s="51"/>
      <c r="I54" s="52"/>
      <c r="J54" s="52"/>
      <c r="K54" s="52"/>
      <c r="L54" s="50"/>
      <c r="M54" s="53"/>
      <c r="N54" s="25"/>
      <c r="O54" s="25"/>
      <c r="P54" s="51"/>
      <c r="Q54" s="50"/>
      <c r="R54" s="53"/>
      <c r="S54" s="25"/>
      <c r="T54" s="25"/>
      <c r="U54" s="51"/>
      <c r="V54" s="54"/>
      <c r="W54" s="55"/>
      <c r="X54" s="60"/>
      <c r="Y54" s="29"/>
      <c r="Z54" s="56"/>
      <c r="AA54" s="44"/>
      <c r="AC54" s="56"/>
      <c r="AD54" s="56"/>
    </row>
    <row r="55" spans="1:38" x14ac:dyDescent="0.25">
      <c r="A55" s="98"/>
      <c r="B55" s="98" t="s">
        <v>83</v>
      </c>
      <c r="C55" s="105" t="s">
        <v>84</v>
      </c>
      <c r="D55" s="58">
        <v>0.7</v>
      </c>
      <c r="E55" s="48">
        <v>1.0375000000000001</v>
      </c>
      <c r="F55" s="49">
        <f t="shared" ref="F55" si="17">E55-D55</f>
        <v>0.33750000000000013</v>
      </c>
      <c r="G55" s="50">
        <v>40</v>
      </c>
      <c r="H55" s="51">
        <v>41.5</v>
      </c>
      <c r="I55" s="52">
        <f t="shared" ref="I55:I58" si="18">H55-G55</f>
        <v>1.5</v>
      </c>
      <c r="J55" s="52"/>
      <c r="K55" s="52"/>
      <c r="L55" s="50">
        <v>35</v>
      </c>
      <c r="M55" s="53">
        <v>0</v>
      </c>
      <c r="N55" s="25">
        <v>0</v>
      </c>
      <c r="O55" s="25">
        <v>0</v>
      </c>
      <c r="P55" s="51">
        <v>0</v>
      </c>
      <c r="Q55" s="50">
        <v>40</v>
      </c>
      <c r="R55" s="53">
        <v>0</v>
      </c>
      <c r="S55" s="25">
        <v>0</v>
      </c>
      <c r="T55" s="25">
        <v>0</v>
      </c>
      <c r="U55" s="51">
        <v>0</v>
      </c>
      <c r="V55" s="54">
        <v>1.03125</v>
      </c>
      <c r="W55" s="55">
        <v>0.81669776119402981</v>
      </c>
      <c r="X55" s="60"/>
      <c r="Y55" s="29">
        <v>42.5</v>
      </c>
      <c r="Z55" s="56"/>
      <c r="AA55" s="44" t="str">
        <f t="shared" ref="AA55:AA58" si="19">_xlfn.CONCAT(B55," ",C55)</f>
        <v>Lawrence Mulligan</v>
      </c>
      <c r="AC55" s="56" t="s">
        <v>31</v>
      </c>
      <c r="AD55" s="56" t="s">
        <v>34</v>
      </c>
      <c r="AI55" s="97"/>
      <c r="AJ55" s="97"/>
      <c r="AK55" s="103"/>
      <c r="AL55" s="104"/>
    </row>
    <row r="56" spans="1:38" x14ac:dyDescent="0.25">
      <c r="A56" s="98"/>
      <c r="B56" s="98" t="s">
        <v>85</v>
      </c>
      <c r="C56" s="105" t="s">
        <v>86</v>
      </c>
      <c r="D56" s="58">
        <v>0.8</v>
      </c>
      <c r="E56" s="48">
        <v>1</v>
      </c>
      <c r="F56" s="49">
        <f>E56-D56</f>
        <v>0.19999999999999996</v>
      </c>
      <c r="G56" s="50">
        <v>40</v>
      </c>
      <c r="H56" s="51">
        <v>40</v>
      </c>
      <c r="I56" s="52">
        <f t="shared" si="18"/>
        <v>0</v>
      </c>
      <c r="J56" s="52"/>
      <c r="K56" s="52"/>
      <c r="L56" s="50">
        <v>40</v>
      </c>
      <c r="M56" s="53">
        <v>0</v>
      </c>
      <c r="N56" s="25">
        <v>0</v>
      </c>
      <c r="O56" s="25">
        <v>0</v>
      </c>
      <c r="P56" s="51">
        <v>0</v>
      </c>
      <c r="Q56" s="50">
        <v>40</v>
      </c>
      <c r="R56" s="53">
        <v>0</v>
      </c>
      <c r="S56" s="25">
        <v>0</v>
      </c>
      <c r="T56" s="25">
        <v>0</v>
      </c>
      <c r="U56" s="51">
        <v>0</v>
      </c>
      <c r="V56" s="54">
        <v>1</v>
      </c>
      <c r="W56" s="55">
        <v>0.96952736318407962</v>
      </c>
      <c r="X56" s="60"/>
      <c r="Y56" s="29">
        <v>40</v>
      </c>
      <c r="Z56" s="56"/>
      <c r="AA56" s="44" t="str">
        <f t="shared" si="19"/>
        <v>Peter Grace</v>
      </c>
      <c r="AC56" s="56" t="s">
        <v>31</v>
      </c>
      <c r="AD56" s="56" t="s">
        <v>48</v>
      </c>
      <c r="AI56" s="97"/>
      <c r="AJ56" s="97"/>
      <c r="AK56" s="103"/>
      <c r="AL56" s="104"/>
    </row>
    <row r="57" spans="1:38" x14ac:dyDescent="0.25">
      <c r="A57" s="98"/>
      <c r="B57" s="98" t="s">
        <v>87</v>
      </c>
      <c r="C57" s="105" t="s">
        <v>88</v>
      </c>
      <c r="D57" s="58">
        <v>0.8</v>
      </c>
      <c r="E57" s="48">
        <v>1.3499999999999999</v>
      </c>
      <c r="F57" s="49">
        <f>E57-D57</f>
        <v>0.54999999999999982</v>
      </c>
      <c r="G57" s="50">
        <v>54</v>
      </c>
      <c r="H57" s="51">
        <v>53.999999999999993</v>
      </c>
      <c r="I57" s="52">
        <f t="shared" si="18"/>
        <v>0</v>
      </c>
      <c r="J57" s="52"/>
      <c r="K57" s="52"/>
      <c r="L57" s="50">
        <v>54</v>
      </c>
      <c r="M57" s="53">
        <v>0</v>
      </c>
      <c r="N57" s="25">
        <v>0</v>
      </c>
      <c r="O57" s="25">
        <v>0</v>
      </c>
      <c r="P57" s="51">
        <v>0</v>
      </c>
      <c r="Q57" s="50">
        <v>54</v>
      </c>
      <c r="R57" s="53">
        <v>0</v>
      </c>
      <c r="S57" s="25">
        <v>0</v>
      </c>
      <c r="T57" s="25">
        <v>0</v>
      </c>
      <c r="U57" s="51">
        <v>0</v>
      </c>
      <c r="V57" s="54">
        <v>1.3062499999999999</v>
      </c>
      <c r="W57" s="55">
        <v>0.96003109452736324</v>
      </c>
      <c r="X57" s="60"/>
      <c r="Y57" s="29">
        <v>53.999999999999993</v>
      </c>
      <c r="Z57" s="56"/>
      <c r="AA57" s="44" t="str">
        <f t="shared" si="19"/>
        <v>Yassine Ibrahimi</v>
      </c>
      <c r="AC57" s="56" t="s">
        <v>31</v>
      </c>
      <c r="AD57" s="56" t="s">
        <v>48</v>
      </c>
      <c r="AI57" s="97"/>
      <c r="AJ57" s="97"/>
      <c r="AK57" s="103"/>
      <c r="AL57" s="104"/>
    </row>
    <row r="58" spans="1:38" x14ac:dyDescent="0.25">
      <c r="A58" s="98"/>
      <c r="B58" s="98" t="s">
        <v>63</v>
      </c>
      <c r="C58" s="105" t="s">
        <v>89</v>
      </c>
      <c r="D58" s="58">
        <v>0.8</v>
      </c>
      <c r="E58" s="48">
        <v>1</v>
      </c>
      <c r="F58" s="49">
        <f t="shared" ref="F58" si="20">E58-D58</f>
        <v>0.19999999999999996</v>
      </c>
      <c r="G58" s="50">
        <v>40</v>
      </c>
      <c r="H58" s="51">
        <v>40</v>
      </c>
      <c r="I58" s="52">
        <f t="shared" si="18"/>
        <v>0</v>
      </c>
      <c r="J58" s="52"/>
      <c r="K58" s="52"/>
      <c r="L58" s="50">
        <v>8</v>
      </c>
      <c r="M58" s="53">
        <v>0</v>
      </c>
      <c r="N58" s="25">
        <v>0</v>
      </c>
      <c r="O58" s="25">
        <v>0</v>
      </c>
      <c r="P58" s="51">
        <v>32</v>
      </c>
      <c r="Q58" s="50">
        <v>40</v>
      </c>
      <c r="R58" s="53">
        <v>0</v>
      </c>
      <c r="S58" s="25">
        <v>0</v>
      </c>
      <c r="T58" s="25">
        <v>0</v>
      </c>
      <c r="U58" s="51">
        <v>0</v>
      </c>
      <c r="V58" s="54">
        <v>0.96875</v>
      </c>
      <c r="W58" s="55">
        <v>0.81778606965174128</v>
      </c>
      <c r="X58" s="60"/>
      <c r="Y58" s="29">
        <v>41</v>
      </c>
      <c r="Z58" s="56"/>
      <c r="AA58" s="44" t="str">
        <f t="shared" si="19"/>
        <v>Matt Mencel</v>
      </c>
      <c r="AC58" s="56" t="s">
        <v>31</v>
      </c>
      <c r="AD58" s="56" t="s">
        <v>48</v>
      </c>
      <c r="AI58" s="97"/>
      <c r="AJ58" s="97"/>
      <c r="AK58" s="103"/>
      <c r="AL58" s="104"/>
    </row>
    <row r="59" spans="1:38" x14ac:dyDescent="0.25">
      <c r="A59" s="98"/>
      <c r="B59" s="98" t="s">
        <v>90</v>
      </c>
      <c r="C59" s="105" t="s">
        <v>91</v>
      </c>
      <c r="D59" s="58">
        <v>0.8</v>
      </c>
      <c r="E59" s="48">
        <v>0.6</v>
      </c>
      <c r="F59" s="49">
        <f>E59-D59</f>
        <v>-0.20000000000000007</v>
      </c>
      <c r="G59" s="50">
        <v>24</v>
      </c>
      <c r="H59" s="51">
        <v>24</v>
      </c>
      <c r="I59" s="52">
        <f>H59-G59</f>
        <v>0</v>
      </c>
      <c r="J59" s="52"/>
      <c r="K59" s="52"/>
      <c r="L59" s="50">
        <v>40</v>
      </c>
      <c r="M59" s="53">
        <v>0</v>
      </c>
      <c r="N59" s="25">
        <v>0</v>
      </c>
      <c r="O59" s="25">
        <v>0</v>
      </c>
      <c r="P59" s="51">
        <v>0</v>
      </c>
      <c r="Q59" s="50">
        <v>40</v>
      </c>
      <c r="R59" s="53">
        <v>0</v>
      </c>
      <c r="S59" s="25">
        <v>0</v>
      </c>
      <c r="T59" s="25">
        <v>0</v>
      </c>
      <c r="U59" s="51">
        <v>0</v>
      </c>
      <c r="V59" s="54">
        <v>0.8</v>
      </c>
      <c r="W59" s="55">
        <v>0.76041666666666663</v>
      </c>
      <c r="X59" s="60"/>
      <c r="Y59" s="29">
        <v>40</v>
      </c>
      <c r="Z59" s="56"/>
      <c r="AA59" s="44" t="str">
        <f>_xlfn.CONCAT(B59," ",C59)</f>
        <v>Carlos Nunez</v>
      </c>
      <c r="AC59" s="56" t="s">
        <v>31</v>
      </c>
      <c r="AD59" s="56" t="s">
        <v>34</v>
      </c>
      <c r="AI59" s="97"/>
      <c r="AJ59" s="97"/>
      <c r="AK59" s="103"/>
      <c r="AL59" s="104"/>
    </row>
    <row r="60" spans="1:38" x14ac:dyDescent="0.25">
      <c r="A60" s="98"/>
      <c r="B60" s="98" t="s">
        <v>63</v>
      </c>
      <c r="C60" s="105" t="s">
        <v>92</v>
      </c>
      <c r="D60" s="58">
        <v>0.8</v>
      </c>
      <c r="E60" s="48">
        <v>0.52500000000000002</v>
      </c>
      <c r="F60" s="49">
        <f t="shared" ref="F60:F61" si="21">E60-D60</f>
        <v>-0.27500000000000002</v>
      </c>
      <c r="G60" s="50">
        <v>20</v>
      </c>
      <c r="H60" s="51">
        <v>21</v>
      </c>
      <c r="I60" s="52">
        <f t="shared" ref="I60:I61" si="22">H60-G60</f>
        <v>1</v>
      </c>
      <c r="J60" s="52"/>
      <c r="K60" s="52"/>
      <c r="L60" s="50">
        <v>40</v>
      </c>
      <c r="M60" s="53">
        <v>0</v>
      </c>
      <c r="N60" s="25">
        <v>0</v>
      </c>
      <c r="O60" s="25">
        <v>0</v>
      </c>
      <c r="P60" s="51">
        <v>0</v>
      </c>
      <c r="Q60" s="50">
        <v>40</v>
      </c>
      <c r="R60" s="53">
        <v>0</v>
      </c>
      <c r="S60" s="25">
        <v>0</v>
      </c>
      <c r="T60" s="25">
        <v>0</v>
      </c>
      <c r="U60" s="51">
        <v>0</v>
      </c>
      <c r="V60" s="54">
        <v>0.38750000000000001</v>
      </c>
      <c r="W60" s="55">
        <v>0.65360696517412931</v>
      </c>
      <c r="Y60" s="29">
        <v>40</v>
      </c>
      <c r="Z60" s="56"/>
      <c r="AA60" s="44" t="str">
        <f t="shared" ref="AA60:AA61" si="23">_xlfn.CONCAT(B60," ",C60)</f>
        <v>Matt Reynolds</v>
      </c>
      <c r="AC60" s="56" t="s">
        <v>31</v>
      </c>
      <c r="AD60" s="56" t="s">
        <v>46</v>
      </c>
      <c r="AI60" s="97"/>
      <c r="AJ60" s="97"/>
      <c r="AK60" s="103"/>
      <c r="AL60" s="104"/>
    </row>
    <row r="61" spans="1:38" x14ac:dyDescent="0.25">
      <c r="A61" s="98"/>
      <c r="B61" s="98" t="s">
        <v>63</v>
      </c>
      <c r="C61" s="105" t="s">
        <v>93</v>
      </c>
      <c r="D61" s="58">
        <v>0.8</v>
      </c>
      <c r="E61" s="48">
        <v>0.8</v>
      </c>
      <c r="F61" s="49">
        <f t="shared" si="21"/>
        <v>0</v>
      </c>
      <c r="G61" s="50">
        <v>40</v>
      </c>
      <c r="H61" s="51">
        <v>32</v>
      </c>
      <c r="I61" s="52">
        <f t="shared" si="22"/>
        <v>-8</v>
      </c>
      <c r="J61" s="52"/>
      <c r="K61" s="52"/>
      <c r="L61" s="50">
        <v>40</v>
      </c>
      <c r="M61" s="53">
        <v>0</v>
      </c>
      <c r="N61" s="25">
        <v>0</v>
      </c>
      <c r="O61" s="25">
        <v>0</v>
      </c>
      <c r="P61" s="51">
        <v>0</v>
      </c>
      <c r="Q61" s="50">
        <v>40</v>
      </c>
      <c r="R61" s="53">
        <v>0</v>
      </c>
      <c r="S61" s="25">
        <v>0</v>
      </c>
      <c r="T61" s="25">
        <v>0</v>
      </c>
      <c r="U61" s="51">
        <v>0</v>
      </c>
      <c r="V61" s="54">
        <v>0.9</v>
      </c>
      <c r="W61" s="55">
        <v>0.93532338308457708</v>
      </c>
      <c r="Y61" s="29">
        <v>40</v>
      </c>
      <c r="Z61" s="56"/>
      <c r="AA61" s="44" t="str">
        <f t="shared" si="23"/>
        <v>Matt Saliano</v>
      </c>
      <c r="AC61" s="56" t="s">
        <v>31</v>
      </c>
      <c r="AD61" s="56" t="s">
        <v>48</v>
      </c>
      <c r="AI61" s="97"/>
      <c r="AJ61" s="97"/>
      <c r="AK61" s="103"/>
      <c r="AL61" s="104"/>
    </row>
    <row r="62" spans="1:38" ht="16.5" x14ac:dyDescent="0.35">
      <c r="A62" s="45" t="s">
        <v>94</v>
      </c>
      <c r="B62" s="98"/>
      <c r="C62" s="105"/>
      <c r="D62" s="58"/>
      <c r="E62" s="48"/>
      <c r="F62" s="49"/>
      <c r="G62" s="50"/>
      <c r="H62" s="51"/>
      <c r="I62" s="52"/>
      <c r="J62" s="52"/>
      <c r="K62" s="52"/>
      <c r="L62" s="50"/>
      <c r="M62" s="53"/>
      <c r="N62" s="25"/>
      <c r="O62" s="25"/>
      <c r="P62" s="51"/>
      <c r="Q62" s="50"/>
      <c r="R62" s="53"/>
      <c r="S62" s="25"/>
      <c r="T62" s="25"/>
      <c r="U62" s="51"/>
      <c r="V62" s="54"/>
      <c r="W62" s="55"/>
      <c r="X62" s="60"/>
      <c r="Y62" s="56"/>
      <c r="Z62" s="56"/>
      <c r="AA62" s="44"/>
      <c r="AC62" s="56"/>
      <c r="AD62" s="56"/>
    </row>
    <row r="63" spans="1:38" x14ac:dyDescent="0.25">
      <c r="A63" s="98"/>
      <c r="B63" s="98" t="s">
        <v>95</v>
      </c>
      <c r="C63" s="105" t="s">
        <v>96</v>
      </c>
      <c r="D63" s="58">
        <v>0.8</v>
      </c>
      <c r="E63" s="48">
        <v>0</v>
      </c>
      <c r="F63" s="49">
        <f t="shared" ref="F63" si="24">E63-D63</f>
        <v>-0.8</v>
      </c>
      <c r="G63" s="50">
        <v>0</v>
      </c>
      <c r="H63" s="51">
        <v>0</v>
      </c>
      <c r="I63" s="52">
        <f t="shared" ref="I63" si="25">H63-G63</f>
        <v>0</v>
      </c>
      <c r="J63" s="52"/>
      <c r="K63" s="52"/>
      <c r="L63" s="50">
        <v>0</v>
      </c>
      <c r="M63" s="53">
        <v>0</v>
      </c>
      <c r="N63" s="25">
        <v>0</v>
      </c>
      <c r="O63" s="25">
        <v>0</v>
      </c>
      <c r="P63" s="51">
        <v>0</v>
      </c>
      <c r="Q63" s="50">
        <v>0</v>
      </c>
      <c r="R63" s="53">
        <v>0</v>
      </c>
      <c r="S63" s="25">
        <v>0</v>
      </c>
      <c r="T63" s="25">
        <v>0</v>
      </c>
      <c r="U63" s="51">
        <v>0</v>
      </c>
      <c r="V63" s="54">
        <v>0.4375</v>
      </c>
      <c r="W63" s="55">
        <v>0.75963930348258701</v>
      </c>
      <c r="X63" s="60"/>
      <c r="Y63" s="29">
        <v>40</v>
      </c>
      <c r="Z63" s="56"/>
      <c r="AA63" s="44" t="str">
        <f t="shared" ref="AA63" si="26">_xlfn.CONCAT(B63," ",C63)</f>
        <v>Chris Nagel</v>
      </c>
      <c r="AC63" s="56" t="s">
        <v>31</v>
      </c>
      <c r="AD63" s="56" t="s">
        <v>48</v>
      </c>
      <c r="AI63" s="97"/>
      <c r="AJ63" s="97"/>
      <c r="AK63" s="103"/>
      <c r="AL63" s="104"/>
    </row>
    <row r="64" spans="1:38" x14ac:dyDescent="0.25">
      <c r="A64" s="98"/>
      <c r="B64" s="98" t="s">
        <v>97</v>
      </c>
      <c r="C64" s="105" t="s">
        <v>98</v>
      </c>
      <c r="D64" s="58">
        <v>0.8</v>
      </c>
      <c r="E64" s="48">
        <v>1</v>
      </c>
      <c r="F64" s="49">
        <f>E64-D64</f>
        <v>0.19999999999999996</v>
      </c>
      <c r="G64" s="50">
        <v>40</v>
      </c>
      <c r="H64" s="51">
        <v>40</v>
      </c>
      <c r="I64" s="52">
        <f>H64-G64</f>
        <v>0</v>
      </c>
      <c r="J64" s="52"/>
      <c r="K64" s="52"/>
      <c r="L64" s="50">
        <v>40</v>
      </c>
      <c r="M64" s="53">
        <v>0</v>
      </c>
      <c r="N64" s="25">
        <v>0</v>
      </c>
      <c r="O64" s="25">
        <v>0</v>
      </c>
      <c r="P64" s="51">
        <v>0</v>
      </c>
      <c r="Q64" s="50">
        <v>40</v>
      </c>
      <c r="R64" s="53">
        <v>0</v>
      </c>
      <c r="S64" s="25">
        <v>0</v>
      </c>
      <c r="T64" s="25">
        <v>0</v>
      </c>
      <c r="U64" s="51">
        <v>0</v>
      </c>
      <c r="V64" s="54">
        <v>1</v>
      </c>
      <c r="W64" s="55">
        <v>0.92910447761194026</v>
      </c>
      <c r="X64" s="60"/>
      <c r="Y64" s="29">
        <v>40</v>
      </c>
      <c r="Z64" s="56"/>
      <c r="AA64" s="44" t="str">
        <f>_xlfn.CONCAT(B64," ",C64)</f>
        <v>Jennifer Hajduk</v>
      </c>
      <c r="AC64" s="56" t="s">
        <v>31</v>
      </c>
      <c r="AD64" s="56" t="s">
        <v>48</v>
      </c>
      <c r="AI64" s="97"/>
      <c r="AJ64" s="97"/>
      <c r="AK64" s="103"/>
      <c r="AL64" s="104"/>
    </row>
    <row r="65" spans="1:38" x14ac:dyDescent="0.25">
      <c r="A65" s="98"/>
      <c r="B65" s="98" t="s">
        <v>99</v>
      </c>
      <c r="C65" s="105" t="s">
        <v>100</v>
      </c>
      <c r="D65" s="58">
        <v>0.8</v>
      </c>
      <c r="E65" s="48">
        <v>1</v>
      </c>
      <c r="F65" s="49">
        <f t="shared" ref="F65:F69" si="27">E65-D65</f>
        <v>0.19999999999999996</v>
      </c>
      <c r="G65" s="50">
        <v>40</v>
      </c>
      <c r="H65" s="51">
        <v>40</v>
      </c>
      <c r="I65" s="52">
        <f t="shared" ref="I65:I69" si="28">H65-G65</f>
        <v>0</v>
      </c>
      <c r="J65" s="52"/>
      <c r="K65" s="52"/>
      <c r="L65" s="50">
        <v>40</v>
      </c>
      <c r="M65" s="53">
        <v>0</v>
      </c>
      <c r="N65" s="25">
        <v>0</v>
      </c>
      <c r="O65" s="25">
        <v>0</v>
      </c>
      <c r="P65" s="51">
        <v>0</v>
      </c>
      <c r="Q65" s="50">
        <v>40</v>
      </c>
      <c r="R65" s="53">
        <v>0</v>
      </c>
      <c r="S65" s="25">
        <v>0</v>
      </c>
      <c r="T65" s="25">
        <v>0</v>
      </c>
      <c r="U65" s="51">
        <v>0</v>
      </c>
      <c r="V65" s="54">
        <v>1</v>
      </c>
      <c r="W65" s="55">
        <v>0.94527363184079605</v>
      </c>
      <c r="X65" s="60"/>
      <c r="Y65" s="29">
        <v>40</v>
      </c>
      <c r="Z65" s="56"/>
      <c r="AA65" s="44" t="str">
        <f t="shared" ref="AA65:AA69" si="29">_xlfn.CONCAT(B65," ",C65)</f>
        <v>Caleb Herbison</v>
      </c>
      <c r="AC65" s="56" t="s">
        <v>31</v>
      </c>
      <c r="AD65" s="56" t="s">
        <v>46</v>
      </c>
      <c r="AI65" s="97"/>
      <c r="AJ65" s="97"/>
      <c r="AK65" s="103"/>
      <c r="AL65" s="104"/>
    </row>
    <row r="66" spans="1:38" x14ac:dyDescent="0.25">
      <c r="A66" s="98"/>
      <c r="B66" s="99" t="s">
        <v>101</v>
      </c>
      <c r="C66" s="100" t="s">
        <v>102</v>
      </c>
      <c r="D66" s="58">
        <v>0.8</v>
      </c>
      <c r="E66" s="48">
        <v>1</v>
      </c>
      <c r="F66" s="49">
        <f t="shared" si="27"/>
        <v>0.19999999999999996</v>
      </c>
      <c r="G66" s="50">
        <v>40</v>
      </c>
      <c r="H66" s="51">
        <v>40</v>
      </c>
      <c r="I66" s="52">
        <f t="shared" si="28"/>
        <v>0</v>
      </c>
      <c r="J66" s="52"/>
      <c r="K66" s="52"/>
      <c r="L66" s="50">
        <v>40</v>
      </c>
      <c r="M66" s="53">
        <v>0</v>
      </c>
      <c r="N66" s="25">
        <v>0</v>
      </c>
      <c r="O66" s="25">
        <v>0</v>
      </c>
      <c r="P66" s="51">
        <v>0</v>
      </c>
      <c r="Q66" s="50">
        <v>40</v>
      </c>
      <c r="R66" s="53">
        <v>0</v>
      </c>
      <c r="S66" s="25">
        <v>0</v>
      </c>
      <c r="T66" s="25">
        <v>0</v>
      </c>
      <c r="U66" s="51">
        <v>0</v>
      </c>
      <c r="V66" s="54">
        <v>1</v>
      </c>
      <c r="W66" s="55">
        <v>0.94029850746268662</v>
      </c>
      <c r="X66" s="60"/>
      <c r="Y66" s="29">
        <v>40</v>
      </c>
      <c r="Z66" s="56"/>
      <c r="AA66" s="44" t="str">
        <f t="shared" si="29"/>
        <v>Joe Kostovich</v>
      </c>
      <c r="AC66" s="56" t="s">
        <v>31</v>
      </c>
      <c r="AD66" s="56" t="s">
        <v>45</v>
      </c>
      <c r="AI66" s="97"/>
      <c r="AJ66" s="97"/>
      <c r="AK66" s="103"/>
      <c r="AL66" s="104"/>
    </row>
    <row r="67" spans="1:38" x14ac:dyDescent="0.25">
      <c r="A67" s="98"/>
      <c r="B67" s="99" t="s">
        <v>63</v>
      </c>
      <c r="C67" s="100" t="s">
        <v>103</v>
      </c>
      <c r="D67" s="58">
        <v>0.8</v>
      </c>
      <c r="E67" s="48">
        <v>0.7</v>
      </c>
      <c r="F67" s="49">
        <f t="shared" si="27"/>
        <v>-0.10000000000000009</v>
      </c>
      <c r="G67" s="50">
        <v>40</v>
      </c>
      <c r="H67" s="51">
        <v>28</v>
      </c>
      <c r="I67" s="52">
        <f t="shared" si="28"/>
        <v>-12</v>
      </c>
      <c r="J67" s="52"/>
      <c r="K67" s="52"/>
      <c r="L67" s="50">
        <v>40</v>
      </c>
      <c r="M67" s="53">
        <v>0</v>
      </c>
      <c r="N67" s="25">
        <v>0</v>
      </c>
      <c r="O67" s="25">
        <v>0</v>
      </c>
      <c r="P67" s="51">
        <v>0</v>
      </c>
      <c r="Q67" s="50">
        <v>40</v>
      </c>
      <c r="R67" s="53">
        <v>0</v>
      </c>
      <c r="S67" s="25">
        <v>0</v>
      </c>
      <c r="T67" s="25">
        <v>0</v>
      </c>
      <c r="U67" s="51">
        <v>0</v>
      </c>
      <c r="V67" s="54">
        <v>0.85</v>
      </c>
      <c r="W67" s="55">
        <v>0.68672263681592038</v>
      </c>
      <c r="X67" s="60"/>
      <c r="Y67" s="29">
        <v>40</v>
      </c>
      <c r="Z67" s="56"/>
      <c r="AA67" s="44" t="str">
        <f t="shared" si="29"/>
        <v>Matt Laird</v>
      </c>
      <c r="AC67" s="56" t="s">
        <v>31</v>
      </c>
      <c r="AD67" s="56" t="s">
        <v>45</v>
      </c>
      <c r="AI67" s="97"/>
      <c r="AJ67" s="97"/>
      <c r="AK67" s="103"/>
      <c r="AL67" s="104"/>
    </row>
    <row r="68" spans="1:38" ht="16.5" x14ac:dyDescent="0.35">
      <c r="A68" s="45"/>
      <c r="B68" s="99" t="s">
        <v>85</v>
      </c>
      <c r="C68" s="100" t="s">
        <v>104</v>
      </c>
      <c r="D68" s="58">
        <v>0.8</v>
      </c>
      <c r="E68" s="48">
        <v>0.75</v>
      </c>
      <c r="F68" s="49">
        <f t="shared" si="27"/>
        <v>-5.0000000000000044E-2</v>
      </c>
      <c r="G68" s="50">
        <v>30</v>
      </c>
      <c r="H68" s="51">
        <v>30</v>
      </c>
      <c r="I68" s="52">
        <f t="shared" si="28"/>
        <v>0</v>
      </c>
      <c r="J68" s="52"/>
      <c r="K68" s="52"/>
      <c r="L68" s="50">
        <v>33.99</v>
      </c>
      <c r="M68" s="53">
        <v>0</v>
      </c>
      <c r="N68" s="25">
        <v>0</v>
      </c>
      <c r="O68" s="25">
        <v>0</v>
      </c>
      <c r="P68" s="51">
        <v>0</v>
      </c>
      <c r="Q68" s="50">
        <v>30</v>
      </c>
      <c r="R68" s="53">
        <v>0</v>
      </c>
      <c r="S68" s="25">
        <v>0</v>
      </c>
      <c r="T68" s="25">
        <v>0</v>
      </c>
      <c r="U68" s="51">
        <v>0</v>
      </c>
      <c r="V68" s="54">
        <v>0.88749999999999996</v>
      </c>
      <c r="W68" s="55">
        <v>0.75279850746268662</v>
      </c>
      <c r="X68" s="60"/>
      <c r="Y68" s="29">
        <v>40</v>
      </c>
      <c r="Z68" s="56"/>
      <c r="AA68" s="44" t="str">
        <f t="shared" si="29"/>
        <v>Peter Rivera</v>
      </c>
      <c r="AC68" s="56" t="s">
        <v>31</v>
      </c>
      <c r="AD68" s="56" t="s">
        <v>46</v>
      </c>
      <c r="AF68" s="98"/>
      <c r="AG68" s="98"/>
      <c r="AH68" s="98"/>
      <c r="AI68" s="97"/>
      <c r="AJ68" s="97"/>
      <c r="AK68" s="103"/>
      <c r="AL68" s="104"/>
    </row>
    <row r="69" spans="1:38" x14ac:dyDescent="0.25">
      <c r="A69" s="98"/>
      <c r="B69" s="98" t="s">
        <v>105</v>
      </c>
      <c r="C69" s="98" t="s">
        <v>106</v>
      </c>
      <c r="D69" s="58">
        <v>0.8</v>
      </c>
      <c r="E69" s="48">
        <v>1</v>
      </c>
      <c r="F69" s="49">
        <f t="shared" si="27"/>
        <v>0.19999999999999996</v>
      </c>
      <c r="G69" s="50">
        <v>40</v>
      </c>
      <c r="H69" s="51">
        <v>40</v>
      </c>
      <c r="I69" s="52">
        <f t="shared" si="28"/>
        <v>0</v>
      </c>
      <c r="J69" s="52"/>
      <c r="K69" s="52"/>
      <c r="L69" s="50">
        <v>40</v>
      </c>
      <c r="M69" s="53">
        <v>0</v>
      </c>
      <c r="N69" s="25">
        <v>0</v>
      </c>
      <c r="O69" s="25">
        <v>0</v>
      </c>
      <c r="P69" s="51">
        <v>0</v>
      </c>
      <c r="Q69" s="50">
        <v>40</v>
      </c>
      <c r="R69" s="53">
        <v>0</v>
      </c>
      <c r="S69" s="25">
        <v>0</v>
      </c>
      <c r="T69" s="25">
        <v>0</v>
      </c>
      <c r="U69" s="51">
        <v>0</v>
      </c>
      <c r="V69" s="54">
        <v>1</v>
      </c>
      <c r="W69" s="55">
        <v>0.85074626865671643</v>
      </c>
      <c r="X69" s="60"/>
      <c r="Y69" s="29">
        <v>40</v>
      </c>
      <c r="Z69" s="56"/>
      <c r="AA69" s="44" t="str">
        <f t="shared" si="29"/>
        <v>Erlin Tego</v>
      </c>
      <c r="AB69" s="101"/>
      <c r="AC69" s="56" t="s">
        <v>31</v>
      </c>
      <c r="AD69" s="56" t="s">
        <v>44</v>
      </c>
      <c r="AF69" s="98"/>
      <c r="AG69" s="98"/>
      <c r="AH69" s="98"/>
      <c r="AI69" s="97"/>
      <c r="AJ69" s="97"/>
      <c r="AK69" s="103"/>
      <c r="AL69" s="104"/>
    </row>
    <row r="70" spans="1:38" ht="16.5" x14ac:dyDescent="0.35">
      <c r="A70" s="45" t="s">
        <v>107</v>
      </c>
      <c r="B70" s="99"/>
      <c r="C70" s="100"/>
      <c r="D70" s="106"/>
      <c r="E70" s="48"/>
      <c r="F70" s="49"/>
      <c r="G70" s="50"/>
      <c r="H70" s="51"/>
      <c r="I70" s="52"/>
      <c r="J70" s="52"/>
      <c r="K70" s="52"/>
      <c r="L70" s="50"/>
      <c r="M70" s="53"/>
      <c r="N70" s="25"/>
      <c r="O70" s="25"/>
      <c r="P70" s="51"/>
      <c r="Q70" s="50"/>
      <c r="R70" s="53"/>
      <c r="S70" s="25"/>
      <c r="T70" s="25"/>
      <c r="U70" s="51"/>
      <c r="V70" s="54"/>
      <c r="W70" s="55"/>
      <c r="X70" s="60"/>
      <c r="Y70" s="56"/>
      <c r="Z70" s="56"/>
      <c r="AA70" s="44"/>
      <c r="AC70" s="56"/>
      <c r="AD70" s="56"/>
    </row>
    <row r="71" spans="1:38" x14ac:dyDescent="0.25">
      <c r="A71" s="98"/>
      <c r="B71" s="98" t="s">
        <v>108</v>
      </c>
      <c r="C71" s="105" t="s">
        <v>109</v>
      </c>
      <c r="D71" s="58">
        <v>0.8</v>
      </c>
      <c r="E71" s="48">
        <v>0.6875</v>
      </c>
      <c r="F71" s="49">
        <f t="shared" ref="F71:F77" si="30">E71-D71</f>
        <v>-0.11250000000000004</v>
      </c>
      <c r="G71" s="50">
        <v>30</v>
      </c>
      <c r="H71" s="51">
        <v>27.5</v>
      </c>
      <c r="I71" s="52">
        <f t="shared" ref="I71:I77" si="31">H71-G71</f>
        <v>-2.5</v>
      </c>
      <c r="J71" s="52"/>
      <c r="K71" s="52"/>
      <c r="L71" s="50">
        <v>20</v>
      </c>
      <c r="M71" s="53">
        <v>0</v>
      </c>
      <c r="N71" s="25">
        <v>0</v>
      </c>
      <c r="O71" s="25">
        <v>0</v>
      </c>
      <c r="P71" s="51">
        <v>0</v>
      </c>
      <c r="Q71" s="50">
        <v>5</v>
      </c>
      <c r="R71" s="53">
        <v>0</v>
      </c>
      <c r="S71" s="25">
        <v>0</v>
      </c>
      <c r="T71" s="25">
        <v>0</v>
      </c>
      <c r="U71" s="51">
        <v>8</v>
      </c>
      <c r="V71" s="54">
        <v>0.703125</v>
      </c>
      <c r="W71" s="55">
        <v>0.75155472636815923</v>
      </c>
      <c r="X71" s="60"/>
      <c r="Y71" s="29">
        <v>40</v>
      </c>
      <c r="Z71" s="56"/>
      <c r="AA71" s="44" t="str">
        <f t="shared" ref="AA71" si="32">_xlfn.CONCAT(B71," ",C71)</f>
        <v>David Smith</v>
      </c>
      <c r="AC71" s="56" t="s">
        <v>31</v>
      </c>
      <c r="AD71" s="56" t="s">
        <v>48</v>
      </c>
      <c r="AI71" s="97"/>
      <c r="AJ71" s="97"/>
      <c r="AK71" s="103"/>
      <c r="AL71" s="104"/>
    </row>
    <row r="72" spans="1:38" x14ac:dyDescent="0.25">
      <c r="A72" s="98"/>
      <c r="B72" s="98" t="s">
        <v>110</v>
      </c>
      <c r="C72" s="105" t="s">
        <v>111</v>
      </c>
      <c r="D72" s="58">
        <v>0.8</v>
      </c>
      <c r="E72" s="48">
        <v>1</v>
      </c>
      <c r="F72" s="49">
        <f t="shared" si="30"/>
        <v>0.19999999999999996</v>
      </c>
      <c r="G72" s="50">
        <v>40</v>
      </c>
      <c r="H72" s="51">
        <v>40</v>
      </c>
      <c r="I72" s="52">
        <f t="shared" si="31"/>
        <v>0</v>
      </c>
      <c r="J72" s="52"/>
      <c r="K72" s="52"/>
      <c r="L72" s="50">
        <v>40</v>
      </c>
      <c r="M72" s="53">
        <v>0</v>
      </c>
      <c r="N72" s="25">
        <v>0</v>
      </c>
      <c r="O72" s="25">
        <v>0</v>
      </c>
      <c r="P72" s="51">
        <v>0</v>
      </c>
      <c r="Q72" s="50">
        <v>40</v>
      </c>
      <c r="R72" s="53">
        <v>0</v>
      </c>
      <c r="S72" s="25">
        <v>0</v>
      </c>
      <c r="T72" s="25">
        <v>0</v>
      </c>
      <c r="U72" s="51">
        <v>0</v>
      </c>
      <c r="V72" s="54">
        <v>1</v>
      </c>
      <c r="W72" s="55">
        <v>0.92972636815920395</v>
      </c>
      <c r="X72" s="60"/>
      <c r="Y72" s="29">
        <v>40</v>
      </c>
      <c r="Z72" s="56"/>
      <c r="AA72" s="44" t="str">
        <f>_xlfn.CONCAT(B72," ",C72)</f>
        <v>Kristopher Brinkley</v>
      </c>
      <c r="AC72" s="56" t="s">
        <v>31</v>
      </c>
      <c r="AD72" s="56" t="s">
        <v>48</v>
      </c>
      <c r="AI72" s="97"/>
      <c r="AJ72" s="97"/>
      <c r="AK72" s="103"/>
      <c r="AL72" s="104"/>
    </row>
    <row r="73" spans="1:38" x14ac:dyDescent="0.25">
      <c r="A73" s="98"/>
      <c r="B73" s="98" t="s">
        <v>112</v>
      </c>
      <c r="C73" s="105" t="s">
        <v>113</v>
      </c>
      <c r="D73" s="58">
        <v>0.8</v>
      </c>
      <c r="E73" s="48">
        <v>1</v>
      </c>
      <c r="F73" s="49">
        <f t="shared" si="30"/>
        <v>0.19999999999999996</v>
      </c>
      <c r="G73" s="50">
        <v>40</v>
      </c>
      <c r="H73" s="51">
        <v>40</v>
      </c>
      <c r="I73" s="52">
        <f t="shared" si="31"/>
        <v>0</v>
      </c>
      <c r="J73" s="52"/>
      <c r="K73" s="52"/>
      <c r="L73" s="50">
        <v>40</v>
      </c>
      <c r="M73" s="53">
        <v>0</v>
      </c>
      <c r="N73" s="25">
        <v>0</v>
      </c>
      <c r="O73" s="25">
        <v>0</v>
      </c>
      <c r="P73" s="51">
        <v>0</v>
      </c>
      <c r="Q73" s="50">
        <v>40</v>
      </c>
      <c r="R73" s="53">
        <v>0</v>
      </c>
      <c r="S73" s="25">
        <v>0</v>
      </c>
      <c r="T73" s="25">
        <v>0</v>
      </c>
      <c r="U73" s="51">
        <v>0</v>
      </c>
      <c r="V73" s="54">
        <v>1</v>
      </c>
      <c r="W73" s="55">
        <v>0.88330223880597014</v>
      </c>
      <c r="Y73" s="29">
        <v>40</v>
      </c>
      <c r="Z73" s="56"/>
      <c r="AA73" s="44" t="str">
        <f t="shared" ref="AA73:AA77" si="33">_xlfn.CONCAT(B73," ",C73)</f>
        <v>Aaron Fields</v>
      </c>
      <c r="AC73" s="56" t="s">
        <v>31</v>
      </c>
      <c r="AD73" s="56" t="s">
        <v>48</v>
      </c>
      <c r="AI73" s="97"/>
      <c r="AJ73" s="97"/>
      <c r="AK73" s="103"/>
      <c r="AL73" s="104"/>
    </row>
    <row r="74" spans="1:38" ht="16.5" x14ac:dyDescent="0.35">
      <c r="A74" s="45"/>
      <c r="B74" s="99" t="s">
        <v>114</v>
      </c>
      <c r="C74" s="100" t="s">
        <v>115</v>
      </c>
      <c r="D74" s="58">
        <v>0.8</v>
      </c>
      <c r="E74" s="48">
        <v>1</v>
      </c>
      <c r="F74" s="49">
        <f t="shared" si="30"/>
        <v>0.19999999999999996</v>
      </c>
      <c r="G74" s="50">
        <v>40</v>
      </c>
      <c r="H74" s="51">
        <v>40</v>
      </c>
      <c r="I74" s="52">
        <f t="shared" si="31"/>
        <v>0</v>
      </c>
      <c r="J74" s="52"/>
      <c r="K74" s="52"/>
      <c r="L74" s="50">
        <v>32</v>
      </c>
      <c r="M74" s="53">
        <v>0</v>
      </c>
      <c r="N74" s="25">
        <v>0</v>
      </c>
      <c r="O74" s="25">
        <v>0</v>
      </c>
      <c r="P74" s="51">
        <v>8</v>
      </c>
      <c r="Q74" s="50">
        <v>40</v>
      </c>
      <c r="R74" s="53">
        <v>0</v>
      </c>
      <c r="S74" s="25">
        <v>0</v>
      </c>
      <c r="T74" s="25">
        <v>0</v>
      </c>
      <c r="U74" s="51">
        <v>0</v>
      </c>
      <c r="V74" s="54">
        <v>1</v>
      </c>
      <c r="W74" s="55">
        <v>0.92537313432835822</v>
      </c>
      <c r="X74" s="60"/>
      <c r="Y74" s="29">
        <v>40</v>
      </c>
      <c r="Z74" s="56"/>
      <c r="AA74" s="44" t="str">
        <f t="shared" si="33"/>
        <v>Josh Franzen</v>
      </c>
      <c r="AC74" s="56" t="s">
        <v>31</v>
      </c>
      <c r="AD74" s="56" t="s">
        <v>45</v>
      </c>
      <c r="AI74" s="97"/>
      <c r="AJ74" s="97"/>
      <c r="AK74" s="103"/>
      <c r="AL74" s="104"/>
    </row>
    <row r="75" spans="1:38" ht="16.5" x14ac:dyDescent="0.35">
      <c r="A75" s="45"/>
      <c r="B75" s="98" t="s">
        <v>116</v>
      </c>
      <c r="C75" s="105" t="s">
        <v>117</v>
      </c>
      <c r="D75" s="58">
        <v>0.8</v>
      </c>
      <c r="E75" s="48">
        <v>1.0375000000000001</v>
      </c>
      <c r="F75" s="49">
        <f t="shared" si="30"/>
        <v>0.23750000000000004</v>
      </c>
      <c r="G75" s="50">
        <v>43</v>
      </c>
      <c r="H75" s="51">
        <v>41.5</v>
      </c>
      <c r="I75" s="52">
        <f t="shared" si="31"/>
        <v>-1.5</v>
      </c>
      <c r="J75" s="52"/>
      <c r="K75" s="52"/>
      <c r="L75" s="50">
        <v>40</v>
      </c>
      <c r="M75" s="53">
        <v>0</v>
      </c>
      <c r="N75" s="25">
        <v>0</v>
      </c>
      <c r="O75" s="25">
        <v>0</v>
      </c>
      <c r="P75" s="51">
        <v>0</v>
      </c>
      <c r="Q75" s="50">
        <v>40</v>
      </c>
      <c r="R75" s="53">
        <v>0</v>
      </c>
      <c r="S75" s="25">
        <v>0</v>
      </c>
      <c r="T75" s="25">
        <v>0</v>
      </c>
      <c r="U75" s="51">
        <v>0</v>
      </c>
      <c r="V75" s="54">
        <v>0.78749999999999998</v>
      </c>
      <c r="W75" s="55">
        <v>0.66386815920398012</v>
      </c>
      <c r="X75" s="60"/>
      <c r="Y75" s="29">
        <v>42.5</v>
      </c>
      <c r="Z75" s="56"/>
      <c r="AA75" s="44" t="str">
        <f t="shared" si="33"/>
        <v>Arturo Martinez</v>
      </c>
      <c r="AC75" s="56" t="s">
        <v>31</v>
      </c>
      <c r="AD75" s="56" t="s">
        <v>45</v>
      </c>
      <c r="AF75" s="98"/>
      <c r="AG75" s="98"/>
      <c r="AH75" s="98"/>
      <c r="AI75" s="97"/>
      <c r="AJ75" s="97"/>
      <c r="AK75" s="103"/>
      <c r="AL75" s="104"/>
    </row>
    <row r="76" spans="1:38" ht="16.5" x14ac:dyDescent="0.35">
      <c r="A76" s="45"/>
      <c r="B76" s="98" t="s">
        <v>118</v>
      </c>
      <c r="C76" s="105" t="s">
        <v>119</v>
      </c>
      <c r="D76" s="58">
        <v>0.8</v>
      </c>
      <c r="E76" s="48">
        <v>1</v>
      </c>
      <c r="F76" s="49">
        <f t="shared" si="30"/>
        <v>0.19999999999999996</v>
      </c>
      <c r="G76" s="50">
        <v>40</v>
      </c>
      <c r="H76" s="51">
        <v>40</v>
      </c>
      <c r="I76" s="52">
        <f t="shared" si="31"/>
        <v>0</v>
      </c>
      <c r="J76" s="52"/>
      <c r="K76" s="52"/>
      <c r="L76" s="50">
        <v>40</v>
      </c>
      <c r="M76" s="53">
        <v>0</v>
      </c>
      <c r="N76" s="25">
        <v>0</v>
      </c>
      <c r="O76" s="25">
        <v>0</v>
      </c>
      <c r="P76" s="51">
        <v>0</v>
      </c>
      <c r="Q76" s="50">
        <v>40</v>
      </c>
      <c r="R76" s="53">
        <v>0</v>
      </c>
      <c r="S76" s="25">
        <v>0</v>
      </c>
      <c r="T76" s="25">
        <v>0</v>
      </c>
      <c r="U76" s="51">
        <v>0</v>
      </c>
      <c r="V76" s="54">
        <v>0.7</v>
      </c>
      <c r="W76" s="55">
        <v>0.29166666666666669</v>
      </c>
      <c r="X76" s="60"/>
      <c r="Y76" s="29">
        <v>40</v>
      </c>
      <c r="Z76" s="56"/>
      <c r="AA76" s="44" t="str">
        <f t="shared" si="33"/>
        <v>Mike Schulz</v>
      </c>
      <c r="AC76" s="56" t="s">
        <v>31</v>
      </c>
      <c r="AD76" s="56" t="s">
        <v>34</v>
      </c>
      <c r="AF76" s="98"/>
      <c r="AG76" s="98"/>
      <c r="AH76" s="98"/>
      <c r="AI76" s="97"/>
      <c r="AJ76" s="97"/>
      <c r="AK76" s="103"/>
      <c r="AL76" s="104"/>
    </row>
    <row r="77" spans="1:38" ht="16.5" x14ac:dyDescent="0.35">
      <c r="A77" s="45"/>
      <c r="B77" s="98" t="s">
        <v>118</v>
      </c>
      <c r="C77" s="105" t="s">
        <v>120</v>
      </c>
      <c r="D77" s="58">
        <v>0.8</v>
      </c>
      <c r="E77" s="48">
        <v>0.22500000000000001</v>
      </c>
      <c r="F77" s="49">
        <f t="shared" si="30"/>
        <v>-0.57500000000000007</v>
      </c>
      <c r="G77" s="50">
        <v>52</v>
      </c>
      <c r="H77" s="51">
        <v>9</v>
      </c>
      <c r="I77" s="52">
        <f t="shared" si="31"/>
        <v>-43</v>
      </c>
      <c r="J77" s="52"/>
      <c r="K77" s="52"/>
      <c r="L77" s="50">
        <v>24</v>
      </c>
      <c r="M77" s="53">
        <v>0</v>
      </c>
      <c r="N77" s="25">
        <v>0</v>
      </c>
      <c r="O77" s="25">
        <v>0</v>
      </c>
      <c r="P77" s="51">
        <v>0</v>
      </c>
      <c r="Q77" s="50">
        <v>20</v>
      </c>
      <c r="R77" s="53">
        <v>0</v>
      </c>
      <c r="S77" s="25">
        <v>0</v>
      </c>
      <c r="T77" s="25">
        <v>0</v>
      </c>
      <c r="U77" s="51">
        <v>0</v>
      </c>
      <c r="V77" s="54">
        <v>0.140625</v>
      </c>
      <c r="W77" s="55">
        <v>0.10026041666666667</v>
      </c>
      <c r="X77" s="60"/>
      <c r="Y77" s="29">
        <v>40</v>
      </c>
      <c r="Z77" s="56"/>
      <c r="AA77" s="44" t="str">
        <f t="shared" si="33"/>
        <v>Mike Shaw</v>
      </c>
      <c r="AC77" s="56" t="s">
        <v>31</v>
      </c>
      <c r="AD77" s="56" t="s">
        <v>34</v>
      </c>
      <c r="AF77" s="98"/>
      <c r="AG77" s="98"/>
      <c r="AH77" s="98"/>
      <c r="AI77" s="97"/>
      <c r="AJ77" s="97"/>
      <c r="AK77" s="103"/>
      <c r="AL77" s="104"/>
    </row>
    <row r="78" spans="1:38" ht="16.5" x14ac:dyDescent="0.35">
      <c r="A78" s="45" t="s">
        <v>121</v>
      </c>
      <c r="B78" s="99"/>
      <c r="C78" s="100"/>
      <c r="D78" s="106"/>
      <c r="E78" s="48"/>
      <c r="F78" s="49"/>
      <c r="G78" s="50"/>
      <c r="H78" s="51"/>
      <c r="I78" s="52"/>
      <c r="J78" s="52"/>
      <c r="K78" s="52"/>
      <c r="L78" s="50"/>
      <c r="M78" s="53"/>
      <c r="N78" s="25"/>
      <c r="O78" s="25"/>
      <c r="P78" s="51"/>
      <c r="Q78" s="50"/>
      <c r="R78" s="53"/>
      <c r="S78" s="25"/>
      <c r="T78" s="25"/>
      <c r="U78" s="51"/>
      <c r="V78" s="54"/>
      <c r="W78" s="55"/>
      <c r="X78" s="60"/>
      <c r="Y78" s="56"/>
      <c r="Z78" s="56"/>
      <c r="AA78" s="44"/>
      <c r="AC78" s="56"/>
      <c r="AD78" s="56"/>
    </row>
    <row r="79" spans="1:38" x14ac:dyDescent="0.25">
      <c r="A79" s="98"/>
      <c r="B79" s="98" t="s">
        <v>76</v>
      </c>
      <c r="C79" s="105" t="s">
        <v>122</v>
      </c>
      <c r="D79" s="58">
        <v>0.7</v>
      </c>
      <c r="E79" s="48">
        <v>1</v>
      </c>
      <c r="F79" s="49">
        <f t="shared" ref="F79:F85" si="34">E79-D79</f>
        <v>0.30000000000000004</v>
      </c>
      <c r="G79" s="50">
        <v>40</v>
      </c>
      <c r="H79" s="51">
        <v>40</v>
      </c>
      <c r="I79" s="52">
        <f t="shared" ref="I79:I85" si="35">H79-G79</f>
        <v>0</v>
      </c>
      <c r="J79" s="52"/>
      <c r="K79" s="52"/>
      <c r="L79" s="50">
        <v>40</v>
      </c>
      <c r="M79" s="53">
        <v>0</v>
      </c>
      <c r="N79" s="25">
        <v>0</v>
      </c>
      <c r="O79" s="25">
        <v>0</v>
      </c>
      <c r="P79" s="51">
        <v>0</v>
      </c>
      <c r="Q79" s="50">
        <v>40</v>
      </c>
      <c r="R79" s="53">
        <v>0</v>
      </c>
      <c r="S79" s="25">
        <v>0</v>
      </c>
      <c r="T79" s="25">
        <v>0</v>
      </c>
      <c r="U79" s="51">
        <v>0</v>
      </c>
      <c r="V79" s="54">
        <v>0.8</v>
      </c>
      <c r="W79" s="55">
        <v>0.97916666666666663</v>
      </c>
      <c r="X79" s="60"/>
      <c r="Y79" s="29">
        <v>49.5</v>
      </c>
      <c r="Z79" s="56"/>
      <c r="AA79" s="44" t="str">
        <f t="shared" ref="AA79:AA81" si="36">_xlfn.CONCAT(B79," ",C79)</f>
        <v>John Wildes</v>
      </c>
      <c r="AC79" s="56" t="s">
        <v>31</v>
      </c>
      <c r="AD79" s="56" t="s">
        <v>34</v>
      </c>
      <c r="AI79" s="97"/>
      <c r="AJ79" s="97"/>
      <c r="AK79" s="103"/>
      <c r="AL79" s="104"/>
    </row>
    <row r="80" spans="1:38" x14ac:dyDescent="0.25">
      <c r="A80" s="98"/>
      <c r="B80" s="98" t="s">
        <v>123</v>
      </c>
      <c r="C80" s="98" t="s">
        <v>124</v>
      </c>
      <c r="D80" s="58">
        <v>0.8</v>
      </c>
      <c r="E80" s="48">
        <v>1.0125</v>
      </c>
      <c r="F80" s="49">
        <f t="shared" si="34"/>
        <v>0.21249999999999991</v>
      </c>
      <c r="G80" s="50">
        <v>40</v>
      </c>
      <c r="H80" s="51">
        <v>40.5</v>
      </c>
      <c r="I80" s="52">
        <f t="shared" si="35"/>
        <v>0.5</v>
      </c>
      <c r="J80" s="52"/>
      <c r="K80" s="52"/>
      <c r="L80" s="50">
        <v>40</v>
      </c>
      <c r="M80" s="53">
        <v>0</v>
      </c>
      <c r="N80" s="25">
        <v>0</v>
      </c>
      <c r="O80" s="25">
        <v>0</v>
      </c>
      <c r="P80" s="51">
        <v>0</v>
      </c>
      <c r="Q80" s="50">
        <v>35</v>
      </c>
      <c r="R80" s="53">
        <v>0</v>
      </c>
      <c r="S80" s="25">
        <v>0</v>
      </c>
      <c r="T80" s="25">
        <v>0</v>
      </c>
      <c r="U80" s="51">
        <v>0</v>
      </c>
      <c r="V80" s="54">
        <v>0.95625000000000004</v>
      </c>
      <c r="W80" s="55">
        <v>0.63348214285714288</v>
      </c>
      <c r="X80" s="60"/>
      <c r="Y80" s="29">
        <v>40.5</v>
      </c>
      <c r="Z80" s="56"/>
      <c r="AA80" s="44" t="str">
        <f t="shared" si="36"/>
        <v>Anthony Budd</v>
      </c>
      <c r="AC80" s="56" t="s">
        <v>31</v>
      </c>
      <c r="AD80" s="56" t="s">
        <v>48</v>
      </c>
      <c r="AF80" s="98"/>
      <c r="AG80" s="98"/>
      <c r="AH80" s="98"/>
      <c r="AI80" s="97"/>
      <c r="AJ80" s="97"/>
      <c r="AK80" s="107"/>
      <c r="AL80" s="102"/>
    </row>
    <row r="81" spans="1:38" x14ac:dyDescent="0.25">
      <c r="A81" s="98"/>
      <c r="B81" s="98" t="s">
        <v>125</v>
      </c>
      <c r="C81" s="98" t="s">
        <v>126</v>
      </c>
      <c r="D81" s="58">
        <v>0.8</v>
      </c>
      <c r="E81" s="48">
        <v>0.125</v>
      </c>
      <c r="F81" s="49">
        <f t="shared" si="34"/>
        <v>-0.67500000000000004</v>
      </c>
      <c r="G81" s="50">
        <v>24</v>
      </c>
      <c r="H81" s="51">
        <v>5</v>
      </c>
      <c r="I81" s="52">
        <f t="shared" si="35"/>
        <v>-19</v>
      </c>
      <c r="J81" s="52"/>
      <c r="K81" s="52"/>
      <c r="L81" s="50">
        <v>40</v>
      </c>
      <c r="M81" s="53">
        <v>0</v>
      </c>
      <c r="N81" s="25">
        <v>0</v>
      </c>
      <c r="O81" s="25">
        <v>0</v>
      </c>
      <c r="P81" s="51">
        <v>0</v>
      </c>
      <c r="Q81" s="50">
        <v>40</v>
      </c>
      <c r="R81" s="53">
        <v>0</v>
      </c>
      <c r="S81" s="25">
        <v>0</v>
      </c>
      <c r="T81" s="25">
        <v>0</v>
      </c>
      <c r="U81" s="51">
        <v>0</v>
      </c>
      <c r="V81" s="54">
        <v>6.25E-2</v>
      </c>
      <c r="W81" s="55">
        <v>2.6041666666666668E-2</v>
      </c>
      <c r="X81" s="60"/>
      <c r="Y81" s="29">
        <v>41</v>
      </c>
      <c r="Z81" s="56"/>
      <c r="AA81" s="44" t="str">
        <f t="shared" si="36"/>
        <v>Brad Householder</v>
      </c>
      <c r="AC81" s="56" t="s">
        <v>31</v>
      </c>
      <c r="AD81" s="56" t="s">
        <v>34</v>
      </c>
      <c r="AF81" s="98"/>
      <c r="AG81" s="98"/>
      <c r="AH81" s="98"/>
      <c r="AI81" s="97"/>
      <c r="AJ81" s="97"/>
      <c r="AK81" s="107"/>
      <c r="AL81" s="102"/>
    </row>
    <row r="82" spans="1:38" x14ac:dyDescent="0.25">
      <c r="A82" s="98"/>
      <c r="B82" s="98" t="s">
        <v>127</v>
      </c>
      <c r="C82" s="98" t="s">
        <v>128</v>
      </c>
      <c r="D82" s="58">
        <v>0.8</v>
      </c>
      <c r="E82" s="48">
        <v>1</v>
      </c>
      <c r="F82" s="49">
        <f t="shared" si="34"/>
        <v>0.19999999999999996</v>
      </c>
      <c r="G82" s="50">
        <v>40</v>
      </c>
      <c r="H82" s="51">
        <v>40</v>
      </c>
      <c r="I82" s="52">
        <f t="shared" si="35"/>
        <v>0</v>
      </c>
      <c r="J82" s="52"/>
      <c r="K82" s="52"/>
      <c r="L82" s="50">
        <v>40</v>
      </c>
      <c r="M82" s="53">
        <v>0</v>
      </c>
      <c r="N82" s="25">
        <v>0</v>
      </c>
      <c r="O82" s="25">
        <v>0</v>
      </c>
      <c r="P82" s="51">
        <v>0</v>
      </c>
      <c r="Q82" s="50">
        <v>40</v>
      </c>
      <c r="R82" s="53">
        <v>0</v>
      </c>
      <c r="S82" s="25">
        <v>0</v>
      </c>
      <c r="T82" s="25">
        <v>0</v>
      </c>
      <c r="U82" s="51">
        <v>0</v>
      </c>
      <c r="V82" s="54">
        <v>0.9</v>
      </c>
      <c r="W82" s="55">
        <v>0.71105072463768115</v>
      </c>
      <c r="X82" s="60"/>
      <c r="Y82" s="29">
        <v>40</v>
      </c>
      <c r="Z82" s="56"/>
      <c r="AA82" s="44" t="str">
        <f>_xlfn.CONCAT(B82," ",C82)</f>
        <v>Jorge Morales</v>
      </c>
      <c r="AC82" s="56" t="s">
        <v>31</v>
      </c>
      <c r="AD82" s="56" t="s">
        <v>48</v>
      </c>
      <c r="AF82" s="98"/>
      <c r="AG82" s="98"/>
      <c r="AH82" s="98"/>
      <c r="AI82" s="97"/>
      <c r="AJ82" s="97"/>
      <c r="AK82" s="107"/>
      <c r="AL82" s="102"/>
    </row>
    <row r="83" spans="1:38" x14ac:dyDescent="0.25">
      <c r="A83" s="98"/>
      <c r="B83" s="98" t="s">
        <v>129</v>
      </c>
      <c r="C83" s="105" t="s">
        <v>130</v>
      </c>
      <c r="D83" s="58">
        <v>0.8</v>
      </c>
      <c r="E83" s="48">
        <v>1</v>
      </c>
      <c r="F83" s="49">
        <f t="shared" si="34"/>
        <v>0.19999999999999996</v>
      </c>
      <c r="G83" s="50">
        <v>40</v>
      </c>
      <c r="H83" s="51">
        <v>40</v>
      </c>
      <c r="I83" s="52">
        <f t="shared" si="35"/>
        <v>0</v>
      </c>
      <c r="J83" s="52"/>
      <c r="K83" s="52"/>
      <c r="L83" s="50">
        <v>40</v>
      </c>
      <c r="M83" s="53">
        <v>0</v>
      </c>
      <c r="N83" s="25">
        <v>0</v>
      </c>
      <c r="O83" s="25">
        <v>0</v>
      </c>
      <c r="P83" s="51">
        <v>0</v>
      </c>
      <c r="Q83" s="50">
        <v>40</v>
      </c>
      <c r="R83" s="53">
        <v>0</v>
      </c>
      <c r="S83" s="25">
        <v>0</v>
      </c>
      <c r="T83" s="25">
        <v>0</v>
      </c>
      <c r="U83" s="51">
        <v>0</v>
      </c>
      <c r="V83" s="54">
        <v>1</v>
      </c>
      <c r="W83" s="55">
        <v>0.65671641791044777</v>
      </c>
      <c r="X83" s="60"/>
      <c r="Y83" s="29">
        <v>40</v>
      </c>
      <c r="Z83" s="56"/>
      <c r="AA83" s="44" t="str">
        <f>_xlfn.CONCAT(B83," ",C83)</f>
        <v>Evan Nondorf</v>
      </c>
      <c r="AC83" s="56" t="s">
        <v>31</v>
      </c>
      <c r="AD83" s="56" t="s">
        <v>46</v>
      </c>
      <c r="AF83" s="98"/>
      <c r="AG83" s="98"/>
      <c r="AH83" s="98"/>
      <c r="AI83" s="97"/>
      <c r="AJ83" s="97"/>
      <c r="AK83" s="107"/>
      <c r="AL83" s="102"/>
    </row>
    <row r="84" spans="1:38" x14ac:dyDescent="0.25">
      <c r="A84" s="98"/>
      <c r="B84" s="98" t="s">
        <v>131</v>
      </c>
      <c r="C84" s="105" t="s">
        <v>132</v>
      </c>
      <c r="D84" s="58">
        <v>0.8</v>
      </c>
      <c r="E84" s="48">
        <v>1</v>
      </c>
      <c r="F84" s="49">
        <f t="shared" si="34"/>
        <v>0.19999999999999996</v>
      </c>
      <c r="G84" s="50">
        <v>40</v>
      </c>
      <c r="H84" s="51">
        <v>40</v>
      </c>
      <c r="I84" s="52">
        <f t="shared" si="35"/>
        <v>0</v>
      </c>
      <c r="J84" s="52"/>
      <c r="K84" s="52"/>
      <c r="L84" s="50">
        <v>40</v>
      </c>
      <c r="M84" s="53">
        <v>0</v>
      </c>
      <c r="N84" s="25">
        <v>0</v>
      </c>
      <c r="O84" s="25">
        <v>0</v>
      </c>
      <c r="P84" s="51">
        <v>0</v>
      </c>
      <c r="Q84" s="50">
        <v>40</v>
      </c>
      <c r="R84" s="53">
        <v>0</v>
      </c>
      <c r="S84" s="25">
        <v>0</v>
      </c>
      <c r="T84" s="25">
        <v>0</v>
      </c>
      <c r="U84" s="51">
        <v>0</v>
      </c>
      <c r="V84" s="54">
        <v>1</v>
      </c>
      <c r="W84" s="55">
        <v>0.57274011299435024</v>
      </c>
      <c r="X84" s="60"/>
      <c r="Y84" s="29">
        <v>40</v>
      </c>
      <c r="Z84" s="56"/>
      <c r="AA84" s="44" t="str">
        <f>_xlfn.CONCAT(B84," ",C84)</f>
        <v>Daniel Oh</v>
      </c>
      <c r="AC84" s="56" t="s">
        <v>31</v>
      </c>
      <c r="AD84" s="56" t="s">
        <v>44</v>
      </c>
      <c r="AI84" s="97"/>
      <c r="AJ84" s="97"/>
      <c r="AK84" s="103"/>
      <c r="AL84" s="104"/>
    </row>
    <row r="85" spans="1:38" x14ac:dyDescent="0.25">
      <c r="A85" s="98"/>
      <c r="B85" s="98" t="s">
        <v>133</v>
      </c>
      <c r="C85" s="105" t="s">
        <v>134</v>
      </c>
      <c r="D85" s="58">
        <v>0.8</v>
      </c>
      <c r="E85" s="48">
        <v>0.82499999999999996</v>
      </c>
      <c r="F85" s="49">
        <f t="shared" si="34"/>
        <v>2.4999999999999911E-2</v>
      </c>
      <c r="G85" s="50">
        <v>32</v>
      </c>
      <c r="H85" s="51">
        <v>33</v>
      </c>
      <c r="I85" s="52">
        <f t="shared" si="35"/>
        <v>1</v>
      </c>
      <c r="J85" s="52"/>
      <c r="K85" s="52"/>
      <c r="L85" s="50">
        <v>32</v>
      </c>
      <c r="M85" s="53">
        <v>0</v>
      </c>
      <c r="N85" s="25">
        <v>0</v>
      </c>
      <c r="O85" s="25">
        <v>0</v>
      </c>
      <c r="P85" s="51">
        <v>8</v>
      </c>
      <c r="Q85" s="50">
        <v>40</v>
      </c>
      <c r="R85" s="53">
        <v>0</v>
      </c>
      <c r="S85" s="25">
        <v>0</v>
      </c>
      <c r="T85" s="25">
        <v>0</v>
      </c>
      <c r="U85" s="51">
        <v>0</v>
      </c>
      <c r="V85" s="54">
        <v>0.91249999999999998</v>
      </c>
      <c r="W85" s="55">
        <v>0.74315068493150682</v>
      </c>
      <c r="X85" s="60"/>
      <c r="Y85" s="29">
        <v>41</v>
      </c>
      <c r="Z85" s="56"/>
      <c r="AA85" s="44" t="str">
        <f>_xlfn.CONCAT(B85," ",C85)</f>
        <v>Marquis Wynne</v>
      </c>
      <c r="AC85" s="56" t="s">
        <v>31</v>
      </c>
      <c r="AD85" s="56" t="s">
        <v>48</v>
      </c>
      <c r="AI85" s="97"/>
      <c r="AJ85" s="97"/>
      <c r="AK85" s="103"/>
      <c r="AL85" s="104"/>
    </row>
    <row r="86" spans="1:38" ht="16.5" x14ac:dyDescent="0.35">
      <c r="A86" s="108" t="s">
        <v>135</v>
      </c>
      <c r="B86" s="99"/>
      <c r="C86" s="100"/>
      <c r="D86" s="58"/>
      <c r="E86" s="48"/>
      <c r="F86" s="49"/>
      <c r="G86" s="50"/>
      <c r="H86" s="51"/>
      <c r="I86" s="52"/>
      <c r="J86" s="52"/>
      <c r="K86" s="52"/>
      <c r="L86" s="50"/>
      <c r="M86" s="53"/>
      <c r="N86" s="25"/>
      <c r="O86" s="25"/>
      <c r="P86" s="51"/>
      <c r="Q86" s="50"/>
      <c r="R86" s="53"/>
      <c r="S86" s="25"/>
      <c r="T86" s="25"/>
      <c r="U86" s="51"/>
      <c r="V86" s="54"/>
      <c r="W86" s="55"/>
      <c r="X86" s="60"/>
      <c r="Y86" s="56"/>
      <c r="Z86" s="56"/>
      <c r="AA86" s="44"/>
      <c r="AC86" s="56"/>
      <c r="AD86" s="56"/>
      <c r="AF86" s="98"/>
      <c r="AG86" s="98"/>
      <c r="AH86" s="98"/>
      <c r="AI86" s="97"/>
      <c r="AJ86" s="97"/>
      <c r="AK86" s="107"/>
      <c r="AL86" s="102"/>
    </row>
    <row r="87" spans="1:38" x14ac:dyDescent="0.25">
      <c r="A87" s="98"/>
      <c r="B87" s="99" t="s">
        <v>136</v>
      </c>
      <c r="C87" s="100" t="s">
        <v>137</v>
      </c>
      <c r="D87" s="58">
        <v>0.2</v>
      </c>
      <c r="E87" s="48">
        <v>0.125</v>
      </c>
      <c r="F87" s="49">
        <f t="shared" ref="F87:F95" si="37">E87-D87</f>
        <v>-7.5000000000000011E-2</v>
      </c>
      <c r="G87" s="50">
        <v>10</v>
      </c>
      <c r="H87" s="51">
        <v>5</v>
      </c>
      <c r="I87" s="52">
        <f t="shared" ref="I87:I95" si="38">H87-G87</f>
        <v>-5</v>
      </c>
      <c r="J87" s="52"/>
      <c r="K87" s="52"/>
      <c r="L87" s="50">
        <v>10</v>
      </c>
      <c r="M87" s="53">
        <v>0</v>
      </c>
      <c r="N87" s="25">
        <v>0</v>
      </c>
      <c r="O87" s="25">
        <v>0</v>
      </c>
      <c r="P87" s="51">
        <v>0</v>
      </c>
      <c r="Q87" s="50">
        <v>10</v>
      </c>
      <c r="R87" s="53">
        <v>0</v>
      </c>
      <c r="S87" s="25">
        <v>0</v>
      </c>
      <c r="T87" s="25">
        <v>0</v>
      </c>
      <c r="U87" s="51">
        <v>0</v>
      </c>
      <c r="V87" s="54">
        <v>0.25</v>
      </c>
      <c r="W87" s="55">
        <v>0.13184079601990051</v>
      </c>
      <c r="X87" s="60"/>
      <c r="Y87" s="29">
        <v>46</v>
      </c>
      <c r="Z87" s="56"/>
      <c r="AA87" s="44" t="str">
        <f t="shared" ref="AA87:AA88" si="39">_xlfn.CONCAT(B87," ",C87)</f>
        <v>Mark Hanson</v>
      </c>
      <c r="AC87" s="56" t="s">
        <v>31</v>
      </c>
      <c r="AD87" s="56" t="s">
        <v>42</v>
      </c>
      <c r="AI87" s="97"/>
      <c r="AJ87" s="97"/>
      <c r="AK87" s="103"/>
      <c r="AL87" s="104"/>
    </row>
    <row r="88" spans="1:38" x14ac:dyDescent="0.25">
      <c r="A88" s="98"/>
      <c r="B88" s="99" t="s">
        <v>138</v>
      </c>
      <c r="C88" s="99" t="s">
        <v>139</v>
      </c>
      <c r="D88" s="58">
        <v>0.8</v>
      </c>
      <c r="E88" s="48">
        <v>0.4</v>
      </c>
      <c r="F88" s="49">
        <f t="shared" si="37"/>
        <v>-0.4</v>
      </c>
      <c r="G88" s="50">
        <v>0</v>
      </c>
      <c r="H88" s="51">
        <v>16</v>
      </c>
      <c r="I88" s="52">
        <f t="shared" si="38"/>
        <v>16</v>
      </c>
      <c r="J88" s="52"/>
      <c r="K88" s="52"/>
      <c r="L88" s="50">
        <v>0</v>
      </c>
      <c r="M88" s="53">
        <v>0</v>
      </c>
      <c r="N88" s="25">
        <v>0</v>
      </c>
      <c r="O88" s="25">
        <v>0</v>
      </c>
      <c r="P88" s="51">
        <v>0</v>
      </c>
      <c r="Q88" s="50">
        <v>0</v>
      </c>
      <c r="R88" s="53">
        <v>0</v>
      </c>
      <c r="S88" s="25">
        <v>0</v>
      </c>
      <c r="T88" s="25">
        <v>0</v>
      </c>
      <c r="U88" s="51">
        <v>0</v>
      </c>
      <c r="V88" s="54">
        <v>0.6</v>
      </c>
      <c r="W88" s="55">
        <v>0.46735074626865669</v>
      </c>
      <c r="X88" s="60"/>
      <c r="Y88" s="29">
        <v>40</v>
      </c>
      <c r="Z88" s="56"/>
      <c r="AA88" s="44" t="str">
        <f t="shared" si="39"/>
        <v>Mason Adams</v>
      </c>
      <c r="AC88" s="56" t="s">
        <v>28</v>
      </c>
      <c r="AD88" s="56" t="s">
        <v>38</v>
      </c>
      <c r="AI88" s="97"/>
      <c r="AJ88" s="97"/>
      <c r="AK88" s="103"/>
      <c r="AL88" s="104"/>
    </row>
    <row r="89" spans="1:38" x14ac:dyDescent="0.25">
      <c r="A89" s="98"/>
      <c r="B89" s="99" t="s">
        <v>140</v>
      </c>
      <c r="C89" s="99" t="s">
        <v>141</v>
      </c>
      <c r="D89" s="58">
        <v>0.8</v>
      </c>
      <c r="E89" s="48">
        <v>0.4375</v>
      </c>
      <c r="F89" s="49">
        <f t="shared" si="37"/>
        <v>-0.36250000000000004</v>
      </c>
      <c r="G89" s="50">
        <v>18</v>
      </c>
      <c r="H89" s="51">
        <v>17.5</v>
      </c>
      <c r="I89" s="52">
        <f t="shared" si="38"/>
        <v>-0.5</v>
      </c>
      <c r="J89" s="52"/>
      <c r="K89" s="52"/>
      <c r="L89" s="50">
        <v>30</v>
      </c>
      <c r="M89" s="53">
        <v>0</v>
      </c>
      <c r="N89" s="25">
        <v>0</v>
      </c>
      <c r="O89" s="25">
        <v>0</v>
      </c>
      <c r="P89" s="51">
        <v>0</v>
      </c>
      <c r="Q89" s="50">
        <v>30</v>
      </c>
      <c r="R89" s="53">
        <v>0</v>
      </c>
      <c r="S89" s="25">
        <v>0</v>
      </c>
      <c r="T89" s="25">
        <v>0</v>
      </c>
      <c r="U89" s="51">
        <v>0</v>
      </c>
      <c r="V89" s="54">
        <v>0.51875000000000004</v>
      </c>
      <c r="W89" s="55">
        <v>0.49709821428571427</v>
      </c>
      <c r="X89" s="60"/>
      <c r="Y89" s="29">
        <v>40</v>
      </c>
      <c r="Z89" s="56"/>
      <c r="AA89" s="44" t="str">
        <f>_xlfn.CONCAT(B89," ",C89)</f>
        <v>Marshall Choate</v>
      </c>
      <c r="AC89" s="56" t="s">
        <v>28</v>
      </c>
      <c r="AD89" s="56" t="s">
        <v>38</v>
      </c>
      <c r="AI89" s="97"/>
      <c r="AJ89" s="97"/>
      <c r="AK89" s="103"/>
      <c r="AL89" s="104"/>
    </row>
    <row r="90" spans="1:38" x14ac:dyDescent="0.25">
      <c r="A90" s="98"/>
      <c r="B90" s="99" t="s">
        <v>142</v>
      </c>
      <c r="C90" s="99" t="s">
        <v>143</v>
      </c>
      <c r="D90" s="58">
        <v>0.8</v>
      </c>
      <c r="E90" s="48">
        <v>0.42499999999999999</v>
      </c>
      <c r="F90" s="49">
        <f t="shared" si="37"/>
        <v>-0.37500000000000006</v>
      </c>
      <c r="G90" s="50">
        <v>0</v>
      </c>
      <c r="H90" s="51">
        <v>17</v>
      </c>
      <c r="I90" s="52">
        <f t="shared" si="38"/>
        <v>17</v>
      </c>
      <c r="J90" s="52"/>
      <c r="K90" s="52"/>
      <c r="L90" s="50">
        <v>0</v>
      </c>
      <c r="M90" s="53">
        <v>0</v>
      </c>
      <c r="N90" s="25">
        <v>0</v>
      </c>
      <c r="O90" s="25">
        <v>0</v>
      </c>
      <c r="P90" s="51">
        <v>0</v>
      </c>
      <c r="Q90" s="50">
        <v>0</v>
      </c>
      <c r="R90" s="53">
        <v>0</v>
      </c>
      <c r="S90" s="25">
        <v>0</v>
      </c>
      <c r="T90" s="25">
        <v>0</v>
      </c>
      <c r="U90" s="51">
        <v>0</v>
      </c>
      <c r="V90" s="54">
        <v>0.48749999999999999</v>
      </c>
      <c r="W90" s="55">
        <v>0.27445652173913043</v>
      </c>
      <c r="X90" s="60"/>
      <c r="Y90" s="29">
        <v>40</v>
      </c>
      <c r="Z90" s="56"/>
      <c r="AA90" s="44" t="str">
        <f>_xlfn.CONCAT(B90," ",C90)</f>
        <v>Kyle Dougherty</v>
      </c>
      <c r="AC90" s="56" t="s">
        <v>28</v>
      </c>
      <c r="AD90" s="56" t="s">
        <v>37</v>
      </c>
      <c r="AI90" s="97"/>
      <c r="AJ90" s="97"/>
      <c r="AK90" s="103"/>
      <c r="AL90" s="104"/>
    </row>
    <row r="91" spans="1:38" x14ac:dyDescent="0.25">
      <c r="A91" s="98"/>
      <c r="B91" s="99" t="s">
        <v>144</v>
      </c>
      <c r="C91" s="99" t="s">
        <v>145</v>
      </c>
      <c r="D91" s="58">
        <v>0.8</v>
      </c>
      <c r="E91" s="48">
        <v>0.46250000000000002</v>
      </c>
      <c r="F91" s="49">
        <f t="shared" si="37"/>
        <v>-0.33750000000000002</v>
      </c>
      <c r="G91" s="50">
        <v>0</v>
      </c>
      <c r="H91" s="51">
        <v>18.5</v>
      </c>
      <c r="I91" s="52">
        <f t="shared" si="38"/>
        <v>18.5</v>
      </c>
      <c r="J91" s="52"/>
      <c r="K91" s="52"/>
      <c r="L91" s="50">
        <v>0</v>
      </c>
      <c r="M91" s="53">
        <v>0</v>
      </c>
      <c r="N91" s="25">
        <v>0</v>
      </c>
      <c r="O91" s="25">
        <v>0</v>
      </c>
      <c r="P91" s="51">
        <v>0</v>
      </c>
      <c r="Q91" s="50">
        <v>0</v>
      </c>
      <c r="R91" s="53">
        <v>0</v>
      </c>
      <c r="S91" s="25">
        <v>0</v>
      </c>
      <c r="T91" s="25">
        <v>0</v>
      </c>
      <c r="U91" s="51">
        <v>0</v>
      </c>
      <c r="V91" s="54">
        <v>0.48749999999999999</v>
      </c>
      <c r="W91" s="55">
        <v>0.4235385572139303</v>
      </c>
      <c r="X91" s="60"/>
      <c r="Y91" s="29">
        <v>40</v>
      </c>
      <c r="Z91" s="56"/>
      <c r="AA91" s="44" t="str">
        <f t="shared" ref="AA91" si="40">_xlfn.CONCAT(B91," ",C91)</f>
        <v>Angel Garcia</v>
      </c>
      <c r="AC91" s="56" t="s">
        <v>28</v>
      </c>
      <c r="AD91" s="56" t="s">
        <v>38</v>
      </c>
      <c r="AI91" s="97"/>
      <c r="AJ91" s="97"/>
      <c r="AK91" s="103"/>
      <c r="AL91" s="104"/>
    </row>
    <row r="92" spans="1:38" x14ac:dyDescent="0.25">
      <c r="A92" s="98"/>
      <c r="B92" s="99" t="s">
        <v>146</v>
      </c>
      <c r="C92" s="99" t="s">
        <v>147</v>
      </c>
      <c r="D92" s="58">
        <v>0.8</v>
      </c>
      <c r="E92" s="48">
        <v>0.45</v>
      </c>
      <c r="F92" s="49">
        <f t="shared" si="37"/>
        <v>-0.35000000000000003</v>
      </c>
      <c r="G92" s="50">
        <v>0</v>
      </c>
      <c r="H92" s="51">
        <v>18</v>
      </c>
      <c r="I92" s="52">
        <f t="shared" si="38"/>
        <v>18</v>
      </c>
      <c r="J92" s="52"/>
      <c r="K92" s="52"/>
      <c r="L92" s="50">
        <v>0</v>
      </c>
      <c r="M92" s="53">
        <v>0</v>
      </c>
      <c r="N92" s="25">
        <v>0</v>
      </c>
      <c r="O92" s="25">
        <v>0</v>
      </c>
      <c r="P92" s="51">
        <v>0</v>
      </c>
      <c r="Q92" s="50">
        <v>0</v>
      </c>
      <c r="R92" s="53">
        <v>0</v>
      </c>
      <c r="S92" s="25">
        <v>0</v>
      </c>
      <c r="T92" s="25">
        <v>0</v>
      </c>
      <c r="U92" s="51">
        <v>0</v>
      </c>
      <c r="V92" s="54">
        <v>0.33124999999999999</v>
      </c>
      <c r="W92" s="55">
        <v>0.15760869565217392</v>
      </c>
      <c r="X92" s="60"/>
      <c r="Y92" s="29">
        <v>40</v>
      </c>
      <c r="Z92" s="56"/>
      <c r="AA92" s="44" t="str">
        <f>_xlfn.CONCAT(B92," ",C92)</f>
        <v>Martin Lee</v>
      </c>
      <c r="AC92" s="56" t="s">
        <v>28</v>
      </c>
      <c r="AD92" s="56" t="s">
        <v>37</v>
      </c>
      <c r="AI92" s="97"/>
      <c r="AJ92" s="97"/>
      <c r="AK92" s="103"/>
      <c r="AL92" s="104"/>
    </row>
    <row r="93" spans="1:38" x14ac:dyDescent="0.25">
      <c r="A93" s="98"/>
      <c r="B93" s="99" t="s">
        <v>148</v>
      </c>
      <c r="C93" s="99" t="s">
        <v>149</v>
      </c>
      <c r="D93" s="58">
        <v>0.8</v>
      </c>
      <c r="E93" s="48">
        <v>0.25</v>
      </c>
      <c r="F93" s="49">
        <f t="shared" si="37"/>
        <v>-0.55000000000000004</v>
      </c>
      <c r="G93" s="50">
        <v>0</v>
      </c>
      <c r="H93" s="51">
        <v>10</v>
      </c>
      <c r="I93" s="52">
        <f t="shared" si="38"/>
        <v>10</v>
      </c>
      <c r="J93" s="52"/>
      <c r="K93" s="52"/>
      <c r="L93" s="50">
        <v>0</v>
      </c>
      <c r="M93" s="53">
        <v>0</v>
      </c>
      <c r="N93" s="25">
        <v>0</v>
      </c>
      <c r="O93" s="25">
        <v>0</v>
      </c>
      <c r="P93" s="51">
        <v>0</v>
      </c>
      <c r="Q93" s="50">
        <v>0</v>
      </c>
      <c r="R93" s="53">
        <v>0</v>
      </c>
      <c r="S93" s="25">
        <v>0</v>
      </c>
      <c r="T93" s="25">
        <v>0</v>
      </c>
      <c r="U93" s="51">
        <v>0</v>
      </c>
      <c r="V93" s="54">
        <v>0.26874999999999999</v>
      </c>
      <c r="W93" s="55">
        <v>0.15307971014492755</v>
      </c>
      <c r="X93" s="60"/>
      <c r="Y93" s="29">
        <v>40</v>
      </c>
      <c r="Z93" s="56"/>
      <c r="AA93" s="44" t="str">
        <f>_xlfn.CONCAT(B93," ",C93)</f>
        <v>Braiton Mendoza</v>
      </c>
      <c r="AC93" s="56" t="s">
        <v>28</v>
      </c>
      <c r="AD93" s="56" t="s">
        <v>37</v>
      </c>
      <c r="AI93" s="97"/>
      <c r="AJ93" s="97"/>
      <c r="AK93" s="103"/>
      <c r="AL93" s="104"/>
    </row>
    <row r="94" spans="1:38" x14ac:dyDescent="0.25">
      <c r="A94" s="98"/>
      <c r="B94" s="99" t="s">
        <v>101</v>
      </c>
      <c r="C94" s="99" t="s">
        <v>150</v>
      </c>
      <c r="D94" s="58">
        <v>0.8</v>
      </c>
      <c r="E94" s="48">
        <v>0.17499999999999999</v>
      </c>
      <c r="F94" s="49">
        <f t="shared" si="37"/>
        <v>-0.625</v>
      </c>
      <c r="G94" s="50">
        <v>0</v>
      </c>
      <c r="H94" s="51">
        <v>7</v>
      </c>
      <c r="I94" s="52">
        <f t="shared" si="38"/>
        <v>7</v>
      </c>
      <c r="J94" s="52"/>
      <c r="K94" s="52"/>
      <c r="L94" s="50">
        <v>0</v>
      </c>
      <c r="M94" s="53">
        <v>0</v>
      </c>
      <c r="N94" s="25">
        <v>0</v>
      </c>
      <c r="O94" s="25">
        <v>0</v>
      </c>
      <c r="P94" s="51">
        <v>0</v>
      </c>
      <c r="Q94" s="50">
        <v>0</v>
      </c>
      <c r="R94" s="53">
        <v>0</v>
      </c>
      <c r="S94" s="25">
        <v>0</v>
      </c>
      <c r="T94" s="25">
        <v>0</v>
      </c>
      <c r="U94" s="51">
        <v>0</v>
      </c>
      <c r="V94" s="54">
        <v>0.28749999999999998</v>
      </c>
      <c r="W94" s="55">
        <v>0.14039855072463769</v>
      </c>
      <c r="X94" s="60"/>
      <c r="Y94" s="29">
        <v>40</v>
      </c>
      <c r="Z94" s="56"/>
      <c r="AA94" s="44" t="str">
        <f>_xlfn.CONCAT(B94," ",C94)</f>
        <v>Joe Zuniga</v>
      </c>
      <c r="AC94" s="56" t="s">
        <v>28</v>
      </c>
      <c r="AD94" s="56" t="s">
        <v>38</v>
      </c>
      <c r="AI94" s="97"/>
      <c r="AJ94" s="97"/>
      <c r="AK94" s="103"/>
      <c r="AL94" s="104"/>
    </row>
    <row r="95" spans="1:38" x14ac:dyDescent="0.25">
      <c r="A95" s="98"/>
      <c r="B95" s="98" t="s">
        <v>76</v>
      </c>
      <c r="C95" s="105" t="s">
        <v>151</v>
      </c>
      <c r="D95" s="58">
        <v>0.5</v>
      </c>
      <c r="E95" s="48">
        <v>0.75</v>
      </c>
      <c r="F95" s="49">
        <f t="shared" si="37"/>
        <v>0.25</v>
      </c>
      <c r="G95" s="50">
        <v>40</v>
      </c>
      <c r="H95" s="51">
        <v>30</v>
      </c>
      <c r="I95" s="52">
        <f t="shared" si="38"/>
        <v>-10</v>
      </c>
      <c r="J95" s="52"/>
      <c r="K95" s="52"/>
      <c r="L95" s="50">
        <v>40</v>
      </c>
      <c r="M95" s="53">
        <v>0</v>
      </c>
      <c r="N95" s="25">
        <v>0</v>
      </c>
      <c r="O95" s="25">
        <v>0</v>
      </c>
      <c r="P95" s="51">
        <v>0</v>
      </c>
      <c r="Q95" s="50">
        <v>40</v>
      </c>
      <c r="R95" s="53">
        <v>0</v>
      </c>
      <c r="S95" s="25">
        <v>0</v>
      </c>
      <c r="T95" s="25">
        <v>0</v>
      </c>
      <c r="U95" s="51">
        <v>0</v>
      </c>
      <c r="V95" s="54">
        <v>0.875</v>
      </c>
      <c r="W95" s="55">
        <v>0.73694029850746268</v>
      </c>
      <c r="Y95" s="29">
        <v>54</v>
      </c>
      <c r="Z95" s="56"/>
      <c r="AA95" s="44" t="str">
        <f t="shared" ref="AA95" si="41">_xlfn.CONCAT(B95," ",C95)</f>
        <v>John Perry</v>
      </c>
      <c r="AC95" s="56" t="s">
        <v>31</v>
      </c>
      <c r="AD95" s="56" t="s">
        <v>36</v>
      </c>
      <c r="AI95" s="97"/>
      <c r="AJ95" s="97"/>
      <c r="AK95" s="103"/>
      <c r="AL95" s="104"/>
    </row>
    <row r="96" spans="1:38" x14ac:dyDescent="0.25">
      <c r="A96" s="98"/>
      <c r="B96" s="98" t="s">
        <v>152</v>
      </c>
      <c r="C96" s="98" t="s">
        <v>153</v>
      </c>
      <c r="D96" s="58">
        <v>0.8</v>
      </c>
      <c r="E96" s="48">
        <v>0.85</v>
      </c>
      <c r="F96" s="49">
        <f>E96-D96</f>
        <v>4.9999999999999933E-2</v>
      </c>
      <c r="G96" s="50">
        <v>35</v>
      </c>
      <c r="H96" s="51">
        <v>34</v>
      </c>
      <c r="I96" s="52">
        <f>H96-G96</f>
        <v>-1</v>
      </c>
      <c r="J96" s="52"/>
      <c r="K96" s="52"/>
      <c r="L96" s="50">
        <v>40</v>
      </c>
      <c r="M96" s="53">
        <v>0</v>
      </c>
      <c r="N96" s="25">
        <v>0</v>
      </c>
      <c r="O96" s="25">
        <v>0</v>
      </c>
      <c r="P96" s="51">
        <v>0</v>
      </c>
      <c r="Q96" s="50">
        <v>40</v>
      </c>
      <c r="R96" s="53">
        <v>0</v>
      </c>
      <c r="S96" s="25">
        <v>0</v>
      </c>
      <c r="T96" s="25">
        <v>0</v>
      </c>
      <c r="U96" s="51">
        <v>0</v>
      </c>
      <c r="V96" s="54">
        <v>0.60624999999999996</v>
      </c>
      <c r="W96" s="55">
        <v>0.34375</v>
      </c>
      <c r="Y96" s="29">
        <v>40</v>
      </c>
      <c r="Z96" s="56"/>
      <c r="AA96" s="44" t="str">
        <f>_xlfn.CONCAT(B96," ",C96)</f>
        <v>Mat Coulombe</v>
      </c>
      <c r="AB96" s="101"/>
      <c r="AC96" s="56" t="s">
        <v>31</v>
      </c>
      <c r="AD96" s="56" t="s">
        <v>34</v>
      </c>
    </row>
    <row r="97" spans="1:38" x14ac:dyDescent="0.25">
      <c r="A97" s="98"/>
      <c r="B97" s="98" t="s">
        <v>154</v>
      </c>
      <c r="C97" s="105" t="s">
        <v>155</v>
      </c>
      <c r="D97" s="58">
        <v>0.7</v>
      </c>
      <c r="E97" s="48">
        <v>0.8</v>
      </c>
      <c r="F97" s="49">
        <f t="shared" ref="F97:F105" si="42">E97-D97</f>
        <v>0.10000000000000009</v>
      </c>
      <c r="G97" s="50">
        <v>10</v>
      </c>
      <c r="H97" s="51">
        <v>32</v>
      </c>
      <c r="I97" s="52">
        <f t="shared" ref="I97:I105" si="43">H97-G97</f>
        <v>22</v>
      </c>
      <c r="J97" s="52"/>
      <c r="K97" s="52"/>
      <c r="L97" s="50">
        <v>30</v>
      </c>
      <c r="M97" s="53">
        <v>0</v>
      </c>
      <c r="N97" s="25">
        <v>0</v>
      </c>
      <c r="O97" s="25">
        <v>0</v>
      </c>
      <c r="P97" s="51">
        <v>8</v>
      </c>
      <c r="Q97" s="50">
        <v>30</v>
      </c>
      <c r="R97" s="53">
        <v>0</v>
      </c>
      <c r="S97" s="25">
        <v>0</v>
      </c>
      <c r="T97" s="25">
        <v>0</v>
      </c>
      <c r="U97" s="51">
        <v>0</v>
      </c>
      <c r="V97" s="54">
        <v>0.51249999999999996</v>
      </c>
      <c r="W97" s="55">
        <v>0.92444029850746268</v>
      </c>
      <c r="X97" s="60"/>
      <c r="Y97" s="29">
        <v>40</v>
      </c>
      <c r="Z97" s="56"/>
      <c r="AA97" s="44" t="str">
        <f t="shared" ref="AA97:AA99" si="44">_xlfn.CONCAT(B97," ",C97)</f>
        <v>Michael de Groot</v>
      </c>
      <c r="AC97" s="56" t="s">
        <v>31</v>
      </c>
      <c r="AD97" s="56" t="s">
        <v>34</v>
      </c>
      <c r="AI97" s="97"/>
      <c r="AJ97" s="97"/>
      <c r="AK97" s="103"/>
      <c r="AL97" s="104"/>
    </row>
    <row r="98" spans="1:38" x14ac:dyDescent="0.25">
      <c r="A98" s="98"/>
      <c r="B98" s="98" t="s">
        <v>114</v>
      </c>
      <c r="C98" s="105" t="s">
        <v>156</v>
      </c>
      <c r="D98" s="58">
        <v>0.7</v>
      </c>
      <c r="E98" s="48">
        <v>1</v>
      </c>
      <c r="F98" s="49">
        <f t="shared" si="42"/>
        <v>0.30000000000000004</v>
      </c>
      <c r="G98" s="50">
        <v>40</v>
      </c>
      <c r="H98" s="51">
        <v>40</v>
      </c>
      <c r="I98" s="52">
        <f t="shared" si="43"/>
        <v>0</v>
      </c>
      <c r="J98" s="52"/>
      <c r="K98" s="52"/>
      <c r="L98" s="50">
        <v>32</v>
      </c>
      <c r="M98" s="53">
        <v>0</v>
      </c>
      <c r="N98" s="25">
        <v>0</v>
      </c>
      <c r="O98" s="25">
        <v>0</v>
      </c>
      <c r="P98" s="51">
        <v>8</v>
      </c>
      <c r="Q98" s="50">
        <v>40</v>
      </c>
      <c r="R98" s="53">
        <v>0</v>
      </c>
      <c r="S98" s="25">
        <v>0</v>
      </c>
      <c r="T98" s="25">
        <v>0</v>
      </c>
      <c r="U98" s="51">
        <v>0</v>
      </c>
      <c r="V98" s="54">
        <v>1</v>
      </c>
      <c r="W98" s="55">
        <v>0.92941542288557211</v>
      </c>
      <c r="X98" s="60"/>
      <c r="Y98" s="29">
        <v>41.4</v>
      </c>
      <c r="Z98" s="56"/>
      <c r="AA98" s="44" t="str">
        <f t="shared" si="44"/>
        <v>Josh Garverick</v>
      </c>
      <c r="AC98" s="56" t="s">
        <v>31</v>
      </c>
      <c r="AD98" s="56" t="s">
        <v>34</v>
      </c>
      <c r="AF98" s="98"/>
      <c r="AG98" s="98"/>
      <c r="AH98" s="98"/>
      <c r="AI98" s="97"/>
      <c r="AJ98" s="97"/>
      <c r="AK98" s="103"/>
      <c r="AL98" s="104"/>
    </row>
    <row r="99" spans="1:38" x14ac:dyDescent="0.25">
      <c r="A99" s="98"/>
      <c r="B99" s="98" t="s">
        <v>157</v>
      </c>
      <c r="C99" s="98" t="s">
        <v>158</v>
      </c>
      <c r="D99" s="58">
        <v>0.8</v>
      </c>
      <c r="E99" s="48">
        <v>1</v>
      </c>
      <c r="F99" s="49">
        <f t="shared" si="42"/>
        <v>0.19999999999999996</v>
      </c>
      <c r="G99" s="50">
        <v>40</v>
      </c>
      <c r="H99" s="51">
        <v>40</v>
      </c>
      <c r="I99" s="52">
        <f t="shared" si="43"/>
        <v>0</v>
      </c>
      <c r="J99" s="52"/>
      <c r="K99" s="52"/>
      <c r="L99" s="50">
        <v>40</v>
      </c>
      <c r="M99" s="53">
        <v>0</v>
      </c>
      <c r="N99" s="25">
        <v>0</v>
      </c>
      <c r="O99" s="25">
        <v>0</v>
      </c>
      <c r="P99" s="51">
        <v>0</v>
      </c>
      <c r="Q99" s="50">
        <v>40</v>
      </c>
      <c r="R99" s="53">
        <v>0</v>
      </c>
      <c r="S99" s="25">
        <v>0</v>
      </c>
      <c r="T99" s="25">
        <v>0</v>
      </c>
      <c r="U99" s="51">
        <v>0</v>
      </c>
      <c r="V99" s="54">
        <v>1</v>
      </c>
      <c r="W99" s="55">
        <v>0.77573529411764708</v>
      </c>
      <c r="X99" s="60"/>
      <c r="Y99" s="29">
        <v>40</v>
      </c>
      <c r="Z99" s="56"/>
      <c r="AA99" s="44" t="str">
        <f t="shared" si="44"/>
        <v>Jed Harbach</v>
      </c>
      <c r="AC99" s="56" t="s">
        <v>31</v>
      </c>
      <c r="AD99" s="56" t="s">
        <v>34</v>
      </c>
      <c r="AF99" s="98"/>
      <c r="AG99" s="98"/>
      <c r="AH99" s="98"/>
      <c r="AI99" s="97"/>
      <c r="AJ99" s="97"/>
      <c r="AK99" s="103"/>
      <c r="AL99" s="104"/>
    </row>
    <row r="100" spans="1:38" x14ac:dyDescent="0.25">
      <c r="A100" s="98"/>
      <c r="B100" s="98" t="s">
        <v>159</v>
      </c>
      <c r="C100" s="98" t="s">
        <v>160</v>
      </c>
      <c r="D100" s="58">
        <v>0.7</v>
      </c>
      <c r="E100" s="48">
        <v>0.72499999999999998</v>
      </c>
      <c r="F100" s="49">
        <f t="shared" si="42"/>
        <v>2.5000000000000022E-2</v>
      </c>
      <c r="G100" s="50">
        <v>25</v>
      </c>
      <c r="H100" s="51">
        <v>29</v>
      </c>
      <c r="I100" s="52">
        <f t="shared" si="43"/>
        <v>4</v>
      </c>
      <c r="J100" s="52"/>
      <c r="K100" s="52"/>
      <c r="L100" s="50">
        <v>25</v>
      </c>
      <c r="M100" s="53">
        <v>0</v>
      </c>
      <c r="N100" s="25">
        <v>0</v>
      </c>
      <c r="O100" s="25">
        <v>0</v>
      </c>
      <c r="P100" s="51">
        <v>0</v>
      </c>
      <c r="Q100" s="50">
        <v>20</v>
      </c>
      <c r="R100" s="53">
        <v>0</v>
      </c>
      <c r="S100" s="25">
        <v>0</v>
      </c>
      <c r="T100" s="25">
        <v>0</v>
      </c>
      <c r="U100" s="51">
        <v>0</v>
      </c>
      <c r="V100" s="54">
        <v>0.75</v>
      </c>
      <c r="W100" s="55">
        <v>0.99593692974452552</v>
      </c>
      <c r="X100" s="60"/>
      <c r="Y100" s="29">
        <v>43</v>
      </c>
      <c r="Z100" s="56"/>
      <c r="AA100" s="44" t="str">
        <f>_xlfn.CONCAT(B100," ",C100)</f>
        <v>Ron Henderson</v>
      </c>
      <c r="AC100" s="56" t="s">
        <v>31</v>
      </c>
      <c r="AD100" s="56" t="s">
        <v>34</v>
      </c>
      <c r="AF100" s="98"/>
      <c r="AG100" s="98"/>
      <c r="AH100" s="98"/>
      <c r="AI100" s="97"/>
      <c r="AJ100" s="97"/>
      <c r="AK100" s="103"/>
      <c r="AL100" s="104"/>
    </row>
    <row r="101" spans="1:38" x14ac:dyDescent="0.25">
      <c r="A101" s="98"/>
      <c r="B101" s="99" t="s">
        <v>161</v>
      </c>
      <c r="C101" s="99" t="s">
        <v>160</v>
      </c>
      <c r="D101" s="58">
        <v>0.7</v>
      </c>
      <c r="E101" s="48">
        <v>0.625</v>
      </c>
      <c r="F101" s="49">
        <f t="shared" si="42"/>
        <v>-7.4999999999999956E-2</v>
      </c>
      <c r="G101" s="50">
        <v>0</v>
      </c>
      <c r="H101" s="51">
        <v>25</v>
      </c>
      <c r="I101" s="52">
        <f t="shared" si="43"/>
        <v>25</v>
      </c>
      <c r="J101" s="52"/>
      <c r="K101" s="52"/>
      <c r="L101" s="50">
        <v>0</v>
      </c>
      <c r="M101" s="53">
        <v>0</v>
      </c>
      <c r="N101" s="25">
        <v>0</v>
      </c>
      <c r="O101" s="25">
        <v>0</v>
      </c>
      <c r="P101" s="51">
        <v>0</v>
      </c>
      <c r="Q101" s="50">
        <v>0</v>
      </c>
      <c r="R101" s="53">
        <v>0</v>
      </c>
      <c r="S101" s="25">
        <v>0</v>
      </c>
      <c r="T101" s="25">
        <v>0</v>
      </c>
      <c r="U101" s="51">
        <v>0</v>
      </c>
      <c r="V101" s="54">
        <v>0.59375</v>
      </c>
      <c r="W101" s="55">
        <v>0.58053482587064675</v>
      </c>
      <c r="X101" s="60"/>
      <c r="Y101" s="29">
        <v>43</v>
      </c>
      <c r="Z101" s="56"/>
      <c r="AA101" s="44" t="str">
        <f t="shared" ref="AA101:AA105" si="45">_xlfn.CONCAT(B101," ",C101)</f>
        <v>Russ Henderson</v>
      </c>
      <c r="AC101" s="56" t="s">
        <v>31</v>
      </c>
      <c r="AD101" s="56" t="s">
        <v>34</v>
      </c>
      <c r="AI101" s="97"/>
      <c r="AJ101" s="97"/>
      <c r="AK101" s="103"/>
      <c r="AL101" s="104"/>
    </row>
    <row r="102" spans="1:38" x14ac:dyDescent="0.25">
      <c r="A102" s="98"/>
      <c r="B102" s="99" t="s">
        <v>162</v>
      </c>
      <c r="C102" s="99" t="s">
        <v>163</v>
      </c>
      <c r="D102" s="58">
        <v>0.7</v>
      </c>
      <c r="E102" s="48">
        <v>0.35</v>
      </c>
      <c r="F102" s="49">
        <f t="shared" si="42"/>
        <v>-0.35</v>
      </c>
      <c r="G102" s="50">
        <v>20</v>
      </c>
      <c r="H102" s="51">
        <v>14</v>
      </c>
      <c r="I102" s="52">
        <f t="shared" si="43"/>
        <v>-6</v>
      </c>
      <c r="J102" s="52"/>
      <c r="K102" s="52"/>
      <c r="L102" s="50">
        <v>22</v>
      </c>
      <c r="M102" s="53">
        <v>0</v>
      </c>
      <c r="N102" s="25">
        <v>0</v>
      </c>
      <c r="O102" s="25">
        <v>0</v>
      </c>
      <c r="P102" s="51">
        <v>0</v>
      </c>
      <c r="Q102" s="50">
        <v>40</v>
      </c>
      <c r="R102" s="53">
        <v>0</v>
      </c>
      <c r="S102" s="25">
        <v>0</v>
      </c>
      <c r="T102" s="25">
        <v>0</v>
      </c>
      <c r="U102" s="51">
        <v>0</v>
      </c>
      <c r="V102" s="54">
        <v>0.17499999999999999</v>
      </c>
      <c r="W102" s="55">
        <v>0.42814086294416243</v>
      </c>
      <c r="X102" s="60"/>
      <c r="Y102" s="29">
        <v>42</v>
      </c>
      <c r="Z102" s="56"/>
      <c r="AA102" s="44" t="str">
        <f t="shared" si="45"/>
        <v>Tom Jaskula</v>
      </c>
      <c r="AC102" s="56" t="s">
        <v>31</v>
      </c>
      <c r="AD102" s="56" t="s">
        <v>34</v>
      </c>
      <c r="AI102" s="97"/>
      <c r="AJ102" s="97"/>
      <c r="AK102" s="103"/>
      <c r="AL102" s="104"/>
    </row>
    <row r="103" spans="1:38" x14ac:dyDescent="0.25">
      <c r="A103" s="98"/>
      <c r="B103" s="99" t="s">
        <v>61</v>
      </c>
      <c r="C103" s="100" t="s">
        <v>147</v>
      </c>
      <c r="D103" s="58">
        <v>0.7</v>
      </c>
      <c r="E103" s="48">
        <v>0.72499999999999998</v>
      </c>
      <c r="F103" s="49">
        <f t="shared" si="42"/>
        <v>2.5000000000000022E-2</v>
      </c>
      <c r="G103" s="50">
        <v>40</v>
      </c>
      <c r="H103" s="51">
        <v>29</v>
      </c>
      <c r="I103" s="52">
        <f t="shared" si="43"/>
        <v>-11</v>
      </c>
      <c r="J103" s="52"/>
      <c r="K103" s="52"/>
      <c r="L103" s="50">
        <v>35</v>
      </c>
      <c r="M103" s="53">
        <v>0</v>
      </c>
      <c r="N103" s="25">
        <v>0</v>
      </c>
      <c r="O103" s="25">
        <v>0</v>
      </c>
      <c r="P103" s="51">
        <v>16</v>
      </c>
      <c r="Q103" s="50">
        <v>40</v>
      </c>
      <c r="R103" s="53">
        <v>0</v>
      </c>
      <c r="S103" s="25">
        <v>0</v>
      </c>
      <c r="T103" s="25">
        <v>0</v>
      </c>
      <c r="U103" s="51">
        <v>0</v>
      </c>
      <c r="V103" s="54">
        <v>0.828125</v>
      </c>
      <c r="W103" s="55">
        <v>0.55083955223880599</v>
      </c>
      <c r="X103" s="60"/>
      <c r="Y103" s="29">
        <v>40</v>
      </c>
      <c r="Z103" s="56"/>
      <c r="AA103" s="44" t="str">
        <f t="shared" si="45"/>
        <v>Ryan Lee</v>
      </c>
      <c r="AC103" s="56" t="s">
        <v>31</v>
      </c>
      <c r="AD103" s="56" t="s">
        <v>48</v>
      </c>
      <c r="AI103" s="97"/>
      <c r="AJ103" s="97"/>
      <c r="AK103" s="103"/>
      <c r="AL103" s="104"/>
    </row>
    <row r="104" spans="1:38" x14ac:dyDescent="0.25">
      <c r="A104" s="98"/>
      <c r="B104" s="98" t="s">
        <v>164</v>
      </c>
      <c r="C104" s="105" t="s">
        <v>165</v>
      </c>
      <c r="D104" s="58">
        <v>0.7</v>
      </c>
      <c r="E104" s="48">
        <v>1.0125</v>
      </c>
      <c r="F104" s="49">
        <f t="shared" si="42"/>
        <v>0.3125</v>
      </c>
      <c r="G104" s="50">
        <v>40</v>
      </c>
      <c r="H104" s="51">
        <v>40.5</v>
      </c>
      <c r="I104" s="52">
        <f t="shared" si="43"/>
        <v>0.5</v>
      </c>
      <c r="J104" s="52"/>
      <c r="K104" s="52"/>
      <c r="L104" s="50">
        <v>43.99</v>
      </c>
      <c r="M104" s="53">
        <v>0</v>
      </c>
      <c r="N104" s="25">
        <v>0</v>
      </c>
      <c r="O104" s="25">
        <v>0</v>
      </c>
      <c r="P104" s="51">
        <v>0</v>
      </c>
      <c r="Q104" s="50">
        <v>40</v>
      </c>
      <c r="R104" s="53">
        <v>0</v>
      </c>
      <c r="S104" s="25">
        <v>0</v>
      </c>
      <c r="T104" s="25">
        <v>0</v>
      </c>
      <c r="U104" s="51">
        <v>0</v>
      </c>
      <c r="V104" s="54">
        <v>0.98750000000000004</v>
      </c>
      <c r="W104" s="55">
        <v>0.95087064676616917</v>
      </c>
      <c r="Y104" s="29">
        <v>45</v>
      </c>
      <c r="Z104" s="56"/>
      <c r="AA104" s="44" t="str">
        <f t="shared" si="45"/>
        <v>Brandon Stephenson</v>
      </c>
      <c r="AC104" s="56" t="s">
        <v>31</v>
      </c>
      <c r="AD104" s="56" t="s">
        <v>34</v>
      </c>
      <c r="AI104" s="97"/>
      <c r="AJ104" s="97"/>
      <c r="AK104" s="103"/>
      <c r="AL104" s="104"/>
    </row>
    <row r="105" spans="1:38" x14ac:dyDescent="0.25">
      <c r="A105" s="98"/>
      <c r="B105" s="98" t="s">
        <v>166</v>
      </c>
      <c r="C105" s="105" t="s">
        <v>167</v>
      </c>
      <c r="D105" s="58">
        <v>0.7</v>
      </c>
      <c r="E105" s="48">
        <v>0.5</v>
      </c>
      <c r="F105" s="49">
        <f t="shared" si="42"/>
        <v>-0.19999999999999996</v>
      </c>
      <c r="G105" s="50">
        <v>40</v>
      </c>
      <c r="H105" s="51">
        <v>20</v>
      </c>
      <c r="I105" s="52">
        <f t="shared" si="43"/>
        <v>-20</v>
      </c>
      <c r="J105" s="52"/>
      <c r="K105" s="52"/>
      <c r="L105" s="50">
        <v>40</v>
      </c>
      <c r="M105" s="53">
        <v>0</v>
      </c>
      <c r="N105" s="25">
        <v>0</v>
      </c>
      <c r="O105" s="25">
        <v>0</v>
      </c>
      <c r="P105" s="51">
        <v>0</v>
      </c>
      <c r="Q105" s="50">
        <v>40</v>
      </c>
      <c r="R105" s="53">
        <v>0</v>
      </c>
      <c r="S105" s="25">
        <v>0</v>
      </c>
      <c r="T105" s="25">
        <v>0</v>
      </c>
      <c r="U105" s="51">
        <v>0</v>
      </c>
      <c r="V105" s="54">
        <v>0.25</v>
      </c>
      <c r="W105" s="55">
        <v>0.67195273631840791</v>
      </c>
      <c r="X105" s="60"/>
      <c r="Y105" s="29">
        <v>40.5</v>
      </c>
      <c r="Z105" s="56"/>
      <c r="AA105" s="44" t="str">
        <f t="shared" si="45"/>
        <v>Dan Wood</v>
      </c>
      <c r="AC105" s="56" t="s">
        <v>31</v>
      </c>
      <c r="AD105" s="56" t="s">
        <v>34</v>
      </c>
      <c r="AI105" s="97"/>
      <c r="AJ105" s="97"/>
      <c r="AK105" s="103"/>
      <c r="AL105" s="104"/>
    </row>
    <row r="106" spans="1:38" ht="16.5" x14ac:dyDescent="0.35">
      <c r="A106" s="108" t="s">
        <v>168</v>
      </c>
      <c r="B106" s="99"/>
      <c r="C106" s="99"/>
      <c r="D106" s="58"/>
      <c r="E106" s="48"/>
      <c r="F106" s="49"/>
      <c r="G106" s="50"/>
      <c r="H106" s="51"/>
      <c r="I106" s="52"/>
      <c r="J106" s="52"/>
      <c r="K106" s="52"/>
      <c r="L106" s="50"/>
      <c r="M106" s="53"/>
      <c r="N106" s="25"/>
      <c r="O106" s="25"/>
      <c r="P106" s="51"/>
      <c r="Q106" s="50"/>
      <c r="R106" s="53"/>
      <c r="S106" s="25"/>
      <c r="T106" s="25"/>
      <c r="U106" s="51"/>
      <c r="V106" s="54"/>
      <c r="W106" s="55"/>
      <c r="X106" s="60"/>
      <c r="Y106" s="44"/>
      <c r="Z106" s="56"/>
      <c r="AA106" s="44"/>
      <c r="AC106" s="56"/>
      <c r="AD106" s="56"/>
      <c r="AF106" s="98"/>
      <c r="AG106" s="98"/>
      <c r="AH106" s="98"/>
      <c r="AI106" s="97"/>
      <c r="AJ106" s="97"/>
      <c r="AK106" s="103"/>
      <c r="AL106" s="104"/>
    </row>
    <row r="107" spans="1:38" x14ac:dyDescent="0.25">
      <c r="A107" s="98"/>
      <c r="B107" s="98" t="s">
        <v>169</v>
      </c>
      <c r="C107" s="105" t="s">
        <v>170</v>
      </c>
      <c r="D107" s="58">
        <v>0.8</v>
      </c>
      <c r="E107" s="48">
        <v>0.4</v>
      </c>
      <c r="F107" s="49">
        <f t="shared" ref="F107:F111" si="46">E107-D107</f>
        <v>-0.4</v>
      </c>
      <c r="G107" s="50">
        <v>16</v>
      </c>
      <c r="H107" s="51">
        <v>16</v>
      </c>
      <c r="I107" s="52">
        <f t="shared" ref="I107:I111" si="47">H107-G107</f>
        <v>0</v>
      </c>
      <c r="J107" s="52"/>
      <c r="K107" s="52"/>
      <c r="L107" s="50">
        <v>30.01</v>
      </c>
      <c r="M107" s="53">
        <v>0</v>
      </c>
      <c r="N107" s="25">
        <v>0</v>
      </c>
      <c r="O107" s="25">
        <v>0</v>
      </c>
      <c r="P107" s="51">
        <v>0</v>
      </c>
      <c r="Q107" s="50">
        <v>20</v>
      </c>
      <c r="R107" s="53">
        <v>0</v>
      </c>
      <c r="S107" s="25">
        <v>0</v>
      </c>
      <c r="T107" s="25">
        <v>0</v>
      </c>
      <c r="U107" s="51">
        <v>8</v>
      </c>
      <c r="V107" s="54">
        <v>0.7</v>
      </c>
      <c r="W107" s="55">
        <v>0.78715796019900497</v>
      </c>
      <c r="X107" s="60"/>
      <c r="Y107" s="29">
        <v>42.75</v>
      </c>
      <c r="Z107" s="56"/>
      <c r="AA107" s="44" t="str">
        <f t="shared" ref="AA107:AA111" si="48">_xlfn.CONCAT(B107," ",C107)</f>
        <v>Joshua Johanning</v>
      </c>
      <c r="AC107" s="56" t="s">
        <v>31</v>
      </c>
      <c r="AD107" s="56" t="s">
        <v>44</v>
      </c>
      <c r="AI107" s="97"/>
      <c r="AJ107" s="97"/>
      <c r="AK107" s="103"/>
      <c r="AL107" s="104"/>
    </row>
    <row r="108" spans="1:38" x14ac:dyDescent="0.25">
      <c r="A108" s="98"/>
      <c r="B108" s="99" t="s">
        <v>101</v>
      </c>
      <c r="C108" s="99" t="s">
        <v>171</v>
      </c>
      <c r="D108" s="58">
        <v>0.8</v>
      </c>
      <c r="E108" s="48">
        <v>1</v>
      </c>
      <c r="F108" s="49">
        <f t="shared" si="46"/>
        <v>0.19999999999999996</v>
      </c>
      <c r="G108" s="50">
        <v>40</v>
      </c>
      <c r="H108" s="51">
        <v>40</v>
      </c>
      <c r="I108" s="52">
        <f t="shared" si="47"/>
        <v>0</v>
      </c>
      <c r="J108" s="52"/>
      <c r="K108" s="52"/>
      <c r="L108" s="50">
        <v>40</v>
      </c>
      <c r="M108" s="53">
        <v>0</v>
      </c>
      <c r="N108" s="25">
        <v>0</v>
      </c>
      <c r="O108" s="25">
        <v>0</v>
      </c>
      <c r="P108" s="51">
        <v>0</v>
      </c>
      <c r="Q108" s="50">
        <v>32</v>
      </c>
      <c r="R108" s="53">
        <v>0</v>
      </c>
      <c r="S108" s="25">
        <v>0</v>
      </c>
      <c r="T108" s="25">
        <v>0</v>
      </c>
      <c r="U108" s="51">
        <v>0</v>
      </c>
      <c r="V108" s="54">
        <v>1</v>
      </c>
      <c r="W108" s="55">
        <v>0.76741293532338306</v>
      </c>
      <c r="X108" s="60"/>
      <c r="Y108" s="29">
        <v>40</v>
      </c>
      <c r="Z108" s="56"/>
      <c r="AA108" s="44" t="str">
        <f t="shared" si="48"/>
        <v>Joe Nunham</v>
      </c>
      <c r="AC108" s="56" t="s">
        <v>31</v>
      </c>
      <c r="AD108" s="56" t="s">
        <v>45</v>
      </c>
      <c r="AF108" s="98"/>
      <c r="AG108" s="98"/>
      <c r="AH108" s="98"/>
      <c r="AI108" s="97"/>
      <c r="AJ108" s="97"/>
      <c r="AK108" s="103"/>
      <c r="AL108" s="104"/>
    </row>
    <row r="109" spans="1:38" x14ac:dyDescent="0.25">
      <c r="A109" s="98"/>
      <c r="B109" s="99" t="s">
        <v>61</v>
      </c>
      <c r="C109" s="99" t="s">
        <v>172</v>
      </c>
      <c r="D109" s="58">
        <v>0.8</v>
      </c>
      <c r="E109" s="48">
        <v>1</v>
      </c>
      <c r="F109" s="49">
        <f t="shared" si="46"/>
        <v>0.19999999999999996</v>
      </c>
      <c r="G109" s="50">
        <v>40</v>
      </c>
      <c r="H109" s="51">
        <v>40</v>
      </c>
      <c r="I109" s="52">
        <f t="shared" si="47"/>
        <v>0</v>
      </c>
      <c r="J109" s="52"/>
      <c r="K109" s="52"/>
      <c r="L109" s="50">
        <v>40</v>
      </c>
      <c r="M109" s="53">
        <v>0</v>
      </c>
      <c r="N109" s="25">
        <v>0</v>
      </c>
      <c r="O109" s="25">
        <v>0</v>
      </c>
      <c r="P109" s="51">
        <v>0</v>
      </c>
      <c r="Q109" s="50">
        <v>32</v>
      </c>
      <c r="R109" s="53">
        <v>0</v>
      </c>
      <c r="S109" s="25">
        <v>0</v>
      </c>
      <c r="T109" s="25">
        <v>0</v>
      </c>
      <c r="U109" s="51">
        <v>8</v>
      </c>
      <c r="V109" s="54">
        <v>1</v>
      </c>
      <c r="W109" s="55">
        <v>0.94745024875621886</v>
      </c>
      <c r="X109" s="60"/>
      <c r="Y109" s="29">
        <v>40</v>
      </c>
      <c r="Z109" s="56"/>
      <c r="AA109" s="44" t="str">
        <f t="shared" si="48"/>
        <v>Ryan Pecor</v>
      </c>
      <c r="AC109" s="56" t="s">
        <v>31</v>
      </c>
      <c r="AD109" s="56" t="s">
        <v>45</v>
      </c>
      <c r="AI109" s="97"/>
      <c r="AJ109" s="97"/>
      <c r="AK109" s="103"/>
      <c r="AL109" s="104"/>
    </row>
    <row r="110" spans="1:38" x14ac:dyDescent="0.25">
      <c r="A110" s="98"/>
      <c r="B110" s="99" t="s">
        <v>173</v>
      </c>
      <c r="C110" s="99" t="s">
        <v>174</v>
      </c>
      <c r="D110" s="58">
        <v>0.8</v>
      </c>
      <c r="E110" s="48">
        <v>2.5000000000000001E-2</v>
      </c>
      <c r="F110" s="49">
        <f t="shared" si="46"/>
        <v>-0.77500000000000002</v>
      </c>
      <c r="G110" s="50">
        <v>0</v>
      </c>
      <c r="H110" s="51">
        <v>1</v>
      </c>
      <c r="I110" s="52">
        <f t="shared" si="47"/>
        <v>1</v>
      </c>
      <c r="J110" s="52"/>
      <c r="K110" s="52"/>
      <c r="L110" s="50">
        <v>20</v>
      </c>
      <c r="M110" s="53">
        <v>0</v>
      </c>
      <c r="N110" s="25">
        <v>0</v>
      </c>
      <c r="O110" s="25">
        <v>0</v>
      </c>
      <c r="P110" s="51">
        <v>0</v>
      </c>
      <c r="Q110" s="50">
        <v>20</v>
      </c>
      <c r="R110" s="53">
        <v>20</v>
      </c>
      <c r="S110" s="25">
        <v>0</v>
      </c>
      <c r="T110" s="25">
        <v>0</v>
      </c>
      <c r="U110" s="51">
        <v>0</v>
      </c>
      <c r="V110" s="54">
        <v>1.2500000000000001E-2</v>
      </c>
      <c r="W110" s="55">
        <v>8.3333333333333332E-3</v>
      </c>
      <c r="X110" s="60"/>
      <c r="Y110" s="29">
        <v>40</v>
      </c>
      <c r="Z110" s="56"/>
      <c r="AA110" s="44" t="str">
        <f t="shared" si="48"/>
        <v>Curt Raburn</v>
      </c>
      <c r="AC110" s="56" t="s">
        <v>31</v>
      </c>
      <c r="AD110" s="56" t="s">
        <v>46</v>
      </c>
      <c r="AI110" s="97"/>
      <c r="AJ110" s="97"/>
      <c r="AK110" s="103"/>
      <c r="AL110" s="104"/>
    </row>
    <row r="111" spans="1:38" x14ac:dyDescent="0.25">
      <c r="A111" s="98"/>
      <c r="B111" s="99" t="s">
        <v>175</v>
      </c>
      <c r="C111" s="99" t="s">
        <v>176</v>
      </c>
      <c r="D111" s="58">
        <v>0.8</v>
      </c>
      <c r="E111" s="48">
        <v>0</v>
      </c>
      <c r="F111" s="49">
        <f t="shared" si="46"/>
        <v>-0.8</v>
      </c>
      <c r="G111" s="50">
        <v>0</v>
      </c>
      <c r="H111" s="51">
        <v>0</v>
      </c>
      <c r="I111" s="52">
        <f t="shared" si="47"/>
        <v>0</v>
      </c>
      <c r="J111" s="52"/>
      <c r="K111" s="52"/>
      <c r="L111" s="50">
        <v>5.33</v>
      </c>
      <c r="M111" s="53">
        <v>0</v>
      </c>
      <c r="N111" s="25">
        <v>0</v>
      </c>
      <c r="O111" s="25">
        <v>0</v>
      </c>
      <c r="P111" s="51">
        <v>0</v>
      </c>
      <c r="Q111" s="50">
        <v>0</v>
      </c>
      <c r="R111" s="53">
        <v>0</v>
      </c>
      <c r="S111" s="25">
        <v>0</v>
      </c>
      <c r="T111" s="25">
        <v>0</v>
      </c>
      <c r="U111" s="51">
        <v>0</v>
      </c>
      <c r="V111" s="54">
        <v>0</v>
      </c>
      <c r="W111" s="55">
        <v>0.35074626865671643</v>
      </c>
      <c r="X111" s="60"/>
      <c r="Y111" s="29">
        <v>40</v>
      </c>
      <c r="Z111" s="56"/>
      <c r="AA111" s="44" t="str">
        <f t="shared" si="48"/>
        <v>Christopher Witcher</v>
      </c>
      <c r="AC111" s="56" t="s">
        <v>31</v>
      </c>
      <c r="AD111" s="56" t="s">
        <v>46</v>
      </c>
      <c r="AI111" s="97"/>
      <c r="AJ111" s="97"/>
      <c r="AK111" s="103"/>
      <c r="AL111" s="104"/>
    </row>
    <row r="112" spans="1:38" ht="16.5" x14ac:dyDescent="0.35">
      <c r="A112" s="45" t="s">
        <v>177</v>
      </c>
      <c r="B112" s="98"/>
      <c r="C112" s="105"/>
      <c r="D112" s="106"/>
      <c r="E112" s="48"/>
      <c r="F112" s="49"/>
      <c r="G112" s="50"/>
      <c r="H112" s="51"/>
      <c r="I112" s="52"/>
      <c r="J112" s="52"/>
      <c r="K112" s="52"/>
      <c r="L112" s="50"/>
      <c r="M112" s="53"/>
      <c r="N112" s="25"/>
      <c r="O112" s="25"/>
      <c r="P112" s="51"/>
      <c r="Q112" s="50"/>
      <c r="R112" s="53"/>
      <c r="S112" s="25"/>
      <c r="T112" s="25"/>
      <c r="U112" s="51"/>
      <c r="V112" s="54"/>
      <c r="W112" s="55"/>
      <c r="X112" s="60"/>
      <c r="Y112" s="29"/>
      <c r="Z112" s="56"/>
      <c r="AA112" s="44"/>
      <c r="AC112" s="56"/>
      <c r="AD112" s="56"/>
    </row>
    <row r="113" spans="1:38" x14ac:dyDescent="0.25">
      <c r="A113" s="98"/>
      <c r="B113" s="98" t="s">
        <v>61</v>
      </c>
      <c r="C113" s="105" t="s">
        <v>178</v>
      </c>
      <c r="D113" s="58">
        <v>0.1</v>
      </c>
      <c r="E113" s="48">
        <v>0</v>
      </c>
      <c r="F113" s="49">
        <f>E113-D113</f>
        <v>-0.1</v>
      </c>
      <c r="G113" s="50">
        <v>0</v>
      </c>
      <c r="H113" s="51">
        <v>0</v>
      </c>
      <c r="I113" s="52">
        <f>H113-G113</f>
        <v>0</v>
      </c>
      <c r="J113" s="52"/>
      <c r="K113" s="52"/>
      <c r="L113" s="50">
        <v>0</v>
      </c>
      <c r="M113" s="53">
        <v>0</v>
      </c>
      <c r="N113" s="25">
        <v>0</v>
      </c>
      <c r="O113" s="25">
        <v>0</v>
      </c>
      <c r="P113" s="51">
        <v>0</v>
      </c>
      <c r="Q113" s="50">
        <v>0</v>
      </c>
      <c r="R113" s="53">
        <v>0</v>
      </c>
      <c r="S113" s="25">
        <v>0</v>
      </c>
      <c r="T113" s="25">
        <v>0</v>
      </c>
      <c r="U113" s="51">
        <v>0</v>
      </c>
      <c r="V113" s="54">
        <v>0</v>
      </c>
      <c r="W113" s="55">
        <v>1.4303482587064677E-2</v>
      </c>
      <c r="Y113" s="29">
        <v>40</v>
      </c>
      <c r="Z113" s="56"/>
      <c r="AA113" s="44" t="str">
        <f t="shared" ref="AA113:AA116" si="49">_xlfn.CONCAT(B113," ",C113)</f>
        <v>Ryan McClish</v>
      </c>
      <c r="AC113" s="56" t="s">
        <v>30</v>
      </c>
      <c r="AD113" s="56" t="s">
        <v>43</v>
      </c>
    </row>
    <row r="114" spans="1:38" x14ac:dyDescent="0.25">
      <c r="A114" s="98"/>
      <c r="B114" s="98" t="s">
        <v>179</v>
      </c>
      <c r="C114" s="105" t="s">
        <v>180</v>
      </c>
      <c r="D114" s="58">
        <v>0.7</v>
      </c>
      <c r="E114" s="48">
        <v>0.35</v>
      </c>
      <c r="F114" s="49">
        <f>E114-D114</f>
        <v>-0.35</v>
      </c>
      <c r="G114" s="50">
        <v>23</v>
      </c>
      <c r="H114" s="51">
        <v>14</v>
      </c>
      <c r="I114" s="52">
        <f>H114-G114</f>
        <v>-9</v>
      </c>
      <c r="J114" s="52"/>
      <c r="K114" s="52"/>
      <c r="L114" s="50">
        <v>21</v>
      </c>
      <c r="M114" s="53">
        <v>0</v>
      </c>
      <c r="N114" s="25">
        <v>0</v>
      </c>
      <c r="O114" s="25">
        <v>0</v>
      </c>
      <c r="P114" s="51">
        <v>0</v>
      </c>
      <c r="Q114" s="50">
        <v>21</v>
      </c>
      <c r="R114" s="53">
        <v>0</v>
      </c>
      <c r="S114" s="25">
        <v>0</v>
      </c>
      <c r="T114" s="25">
        <v>0</v>
      </c>
      <c r="U114" s="51">
        <v>0</v>
      </c>
      <c r="V114" s="54">
        <v>0.48749999999999999</v>
      </c>
      <c r="W114" s="55">
        <v>0.70393880208333337</v>
      </c>
      <c r="Y114" s="29">
        <v>40</v>
      </c>
      <c r="Z114" s="56"/>
      <c r="AA114" s="44" t="str">
        <f t="shared" si="49"/>
        <v>Jean Gold</v>
      </c>
      <c r="AC114" s="56" t="s">
        <v>30</v>
      </c>
      <c r="AD114" s="56" t="s">
        <v>40</v>
      </c>
    </row>
    <row r="115" spans="1:38" x14ac:dyDescent="0.25">
      <c r="A115" s="98"/>
      <c r="B115" s="98" t="s">
        <v>181</v>
      </c>
      <c r="C115" s="105" t="s">
        <v>182</v>
      </c>
      <c r="D115" s="58">
        <v>0.7</v>
      </c>
      <c r="E115" s="48">
        <v>0.45</v>
      </c>
      <c r="F115" s="49">
        <f>E115-D115</f>
        <v>-0.24999999999999994</v>
      </c>
      <c r="G115" s="50">
        <v>10</v>
      </c>
      <c r="H115" s="51">
        <v>18</v>
      </c>
      <c r="I115" s="52">
        <f>H115-G115</f>
        <v>8</v>
      </c>
      <c r="J115" s="52"/>
      <c r="K115" s="52"/>
      <c r="L115" s="50">
        <v>10</v>
      </c>
      <c r="M115" s="53">
        <v>0</v>
      </c>
      <c r="N115" s="25">
        <v>0</v>
      </c>
      <c r="O115" s="25">
        <v>0</v>
      </c>
      <c r="P115" s="51">
        <v>0</v>
      </c>
      <c r="Q115" s="50">
        <v>10</v>
      </c>
      <c r="R115" s="53">
        <v>0</v>
      </c>
      <c r="S115" s="25">
        <v>0</v>
      </c>
      <c r="T115" s="25">
        <v>0</v>
      </c>
      <c r="U115" s="51">
        <v>0</v>
      </c>
      <c r="V115" s="54">
        <v>0.6875</v>
      </c>
      <c r="W115" s="55">
        <v>0.89903846153846156</v>
      </c>
      <c r="Y115" s="29">
        <v>40</v>
      </c>
      <c r="Z115" s="56"/>
      <c r="AA115" s="44" t="str">
        <f t="shared" si="49"/>
        <v>Christine Hanlon</v>
      </c>
      <c r="AC115" s="56" t="s">
        <v>30</v>
      </c>
      <c r="AD115" s="56" t="s">
        <v>40</v>
      </c>
    </row>
    <row r="116" spans="1:38" x14ac:dyDescent="0.25">
      <c r="A116" s="98"/>
      <c r="B116" s="98" t="s">
        <v>183</v>
      </c>
      <c r="C116" s="105" t="s">
        <v>184</v>
      </c>
      <c r="D116" s="58">
        <v>0.7</v>
      </c>
      <c r="E116" s="48">
        <v>1.0249999999999999</v>
      </c>
      <c r="F116" s="49">
        <f>E116-D116</f>
        <v>0.32499999999999996</v>
      </c>
      <c r="G116" s="50">
        <v>40</v>
      </c>
      <c r="H116" s="51">
        <v>41</v>
      </c>
      <c r="I116" s="52">
        <f>H116-G116</f>
        <v>1</v>
      </c>
      <c r="J116" s="52"/>
      <c r="K116" s="52"/>
      <c r="L116" s="50">
        <v>24</v>
      </c>
      <c r="M116" s="53">
        <v>0</v>
      </c>
      <c r="N116" s="25">
        <v>0</v>
      </c>
      <c r="O116" s="25">
        <v>0</v>
      </c>
      <c r="P116" s="51">
        <v>0</v>
      </c>
      <c r="Q116" s="50">
        <v>40</v>
      </c>
      <c r="R116" s="53">
        <v>0</v>
      </c>
      <c r="S116" s="25">
        <v>0</v>
      </c>
      <c r="T116" s="25">
        <v>0</v>
      </c>
      <c r="U116" s="51">
        <v>0</v>
      </c>
      <c r="V116" s="54">
        <v>0.8125</v>
      </c>
      <c r="W116" s="55">
        <v>0.23897058823529413</v>
      </c>
      <c r="Y116" s="29">
        <v>41</v>
      </c>
      <c r="Z116" s="56"/>
      <c r="AA116" s="44" t="str">
        <f t="shared" si="49"/>
        <v>Courtney House</v>
      </c>
      <c r="AC116" s="56" t="s">
        <v>30</v>
      </c>
      <c r="AD116" s="56" t="s">
        <v>40</v>
      </c>
    </row>
    <row r="117" spans="1:38" x14ac:dyDescent="0.25">
      <c r="A117" s="98"/>
      <c r="B117" s="98" t="s">
        <v>185</v>
      </c>
      <c r="C117" s="105" t="s">
        <v>186</v>
      </c>
      <c r="D117" s="58">
        <v>0.7</v>
      </c>
      <c r="E117" s="48">
        <v>0.875</v>
      </c>
      <c r="F117" s="49">
        <f>E117-D117</f>
        <v>0.17500000000000004</v>
      </c>
      <c r="G117" s="50">
        <v>35</v>
      </c>
      <c r="H117" s="51">
        <v>35</v>
      </c>
      <c r="I117" s="52">
        <f>H117-G117</f>
        <v>0</v>
      </c>
      <c r="J117" s="52"/>
      <c r="K117" s="52"/>
      <c r="L117" s="50">
        <v>35</v>
      </c>
      <c r="M117" s="53">
        <v>0</v>
      </c>
      <c r="N117" s="25">
        <v>0</v>
      </c>
      <c r="O117" s="25">
        <v>0</v>
      </c>
      <c r="P117" s="51">
        <v>0</v>
      </c>
      <c r="Q117" s="50">
        <v>35</v>
      </c>
      <c r="R117" s="53">
        <v>0</v>
      </c>
      <c r="S117" s="25">
        <v>0</v>
      </c>
      <c r="T117" s="25">
        <v>0</v>
      </c>
      <c r="U117" s="51">
        <v>0</v>
      </c>
      <c r="V117" s="54">
        <v>0.8125</v>
      </c>
      <c r="W117" s="55">
        <v>0.89127994011976053</v>
      </c>
      <c r="Y117" s="29">
        <v>40</v>
      </c>
      <c r="Z117" s="56"/>
      <c r="AA117" s="44" t="str">
        <f>_xlfn.CONCAT(B117," ",C117)</f>
        <v>Jim Jung</v>
      </c>
      <c r="AC117" s="56" t="s">
        <v>30</v>
      </c>
      <c r="AD117" s="56" t="s">
        <v>40</v>
      </c>
    </row>
    <row r="118" spans="1:38" x14ac:dyDescent="0.25">
      <c r="A118" s="98"/>
      <c r="B118" s="98" t="s">
        <v>187</v>
      </c>
      <c r="C118" s="105" t="s">
        <v>188</v>
      </c>
      <c r="D118" s="58">
        <v>0.7</v>
      </c>
      <c r="E118" s="48">
        <v>0.375</v>
      </c>
      <c r="F118" s="49">
        <f t="shared" ref="F118" si="50">E118-D118</f>
        <v>-0.32499999999999996</v>
      </c>
      <c r="G118" s="50">
        <v>14</v>
      </c>
      <c r="H118" s="51">
        <v>15</v>
      </c>
      <c r="I118" s="52">
        <f t="shared" ref="I118" si="51">H118-G118</f>
        <v>1</v>
      </c>
      <c r="J118" s="52"/>
      <c r="K118" s="52"/>
      <c r="L118" s="50">
        <v>13</v>
      </c>
      <c r="M118" s="53">
        <v>0</v>
      </c>
      <c r="N118" s="25">
        <v>0</v>
      </c>
      <c r="O118" s="25">
        <v>0</v>
      </c>
      <c r="P118" s="51">
        <v>0</v>
      </c>
      <c r="Q118" s="50">
        <v>13</v>
      </c>
      <c r="R118" s="53">
        <v>0</v>
      </c>
      <c r="S118" s="25">
        <v>0</v>
      </c>
      <c r="T118" s="25">
        <v>0</v>
      </c>
      <c r="U118" s="51">
        <v>0</v>
      </c>
      <c r="V118" s="54">
        <v>0.32500000000000001</v>
      </c>
      <c r="W118" s="55">
        <v>0.64707711442786064</v>
      </c>
      <c r="Y118" s="29">
        <v>40</v>
      </c>
      <c r="Z118" s="56"/>
      <c r="AA118" s="44" t="str">
        <f t="shared" ref="AA118:AA120" si="52">_xlfn.CONCAT(B118," ",C118)</f>
        <v>Kat Lawson</v>
      </c>
      <c r="AC118" s="56" t="s">
        <v>30</v>
      </c>
      <c r="AD118" s="56" t="s">
        <v>40</v>
      </c>
    </row>
    <row r="119" spans="1:38" x14ac:dyDescent="0.25">
      <c r="A119" s="98"/>
      <c r="B119" s="98" t="s">
        <v>189</v>
      </c>
      <c r="C119" s="105" t="s">
        <v>190</v>
      </c>
      <c r="D119" s="58">
        <v>0.7</v>
      </c>
      <c r="E119" s="48">
        <v>1</v>
      </c>
      <c r="F119" s="49">
        <f>E119-D119</f>
        <v>0.30000000000000004</v>
      </c>
      <c r="G119" s="50">
        <v>40</v>
      </c>
      <c r="H119" s="51">
        <v>40</v>
      </c>
      <c r="I119" s="52">
        <f>H119-G119</f>
        <v>0</v>
      </c>
      <c r="J119" s="52"/>
      <c r="K119" s="52"/>
      <c r="L119" s="50">
        <v>40</v>
      </c>
      <c r="M119" s="53">
        <v>0</v>
      </c>
      <c r="N119" s="25">
        <v>0</v>
      </c>
      <c r="O119" s="25">
        <v>0</v>
      </c>
      <c r="P119" s="51">
        <v>0</v>
      </c>
      <c r="Q119" s="50">
        <v>40</v>
      </c>
      <c r="R119" s="53">
        <v>0</v>
      </c>
      <c r="S119" s="25">
        <v>0</v>
      </c>
      <c r="T119" s="25">
        <v>0</v>
      </c>
      <c r="U119" s="51">
        <v>0</v>
      </c>
      <c r="V119" s="54">
        <v>1</v>
      </c>
      <c r="W119" s="55">
        <v>0.91075870646766166</v>
      </c>
      <c r="Y119" s="29">
        <v>40</v>
      </c>
      <c r="Z119" s="56"/>
      <c r="AA119" s="44" t="str">
        <f t="shared" si="52"/>
        <v>Akash Malhotra</v>
      </c>
      <c r="AC119" s="56" t="s">
        <v>30</v>
      </c>
      <c r="AD119" s="56" t="s">
        <v>40</v>
      </c>
    </row>
    <row r="120" spans="1:38" x14ac:dyDescent="0.25">
      <c r="A120" s="98"/>
      <c r="B120" s="98" t="s">
        <v>191</v>
      </c>
      <c r="C120" s="105" t="s">
        <v>192</v>
      </c>
      <c r="D120" s="58">
        <v>0.7</v>
      </c>
      <c r="E120" s="48">
        <v>0.1875</v>
      </c>
      <c r="F120" s="49">
        <f>E120-D120</f>
        <v>-0.51249999999999996</v>
      </c>
      <c r="G120" s="50">
        <v>17</v>
      </c>
      <c r="H120" s="51">
        <v>7.5</v>
      </c>
      <c r="I120" s="52">
        <f>H120-G120</f>
        <v>-9.5</v>
      </c>
      <c r="J120" s="52"/>
      <c r="K120" s="52"/>
      <c r="L120" s="50">
        <v>35</v>
      </c>
      <c r="M120" s="53">
        <v>0</v>
      </c>
      <c r="N120" s="25">
        <v>0</v>
      </c>
      <c r="O120" s="25">
        <v>0</v>
      </c>
      <c r="P120" s="51">
        <v>0</v>
      </c>
      <c r="Q120" s="50">
        <v>35</v>
      </c>
      <c r="R120" s="53">
        <v>0</v>
      </c>
      <c r="S120" s="25">
        <v>0</v>
      </c>
      <c r="T120" s="25">
        <v>0</v>
      </c>
      <c r="U120" s="51">
        <v>0</v>
      </c>
      <c r="V120" s="54">
        <v>0.16250000000000001</v>
      </c>
      <c r="W120" s="55">
        <v>4.1666666666666664E-2</v>
      </c>
      <c r="Y120" s="29">
        <v>40</v>
      </c>
      <c r="Z120" s="56"/>
      <c r="AA120" s="44" t="str">
        <f t="shared" si="52"/>
        <v>Eddie Monroe</v>
      </c>
      <c r="AC120" s="56" t="s">
        <v>30</v>
      </c>
      <c r="AD120" s="56" t="s">
        <v>40</v>
      </c>
    </row>
    <row r="121" spans="1:38" x14ac:dyDescent="0.25">
      <c r="A121" s="98"/>
      <c r="B121" s="98" t="s">
        <v>193</v>
      </c>
      <c r="C121" s="105" t="s">
        <v>194</v>
      </c>
      <c r="D121" s="58">
        <v>0.7</v>
      </c>
      <c r="E121" s="48">
        <v>0.25</v>
      </c>
      <c r="F121" s="49">
        <f>E121-D121</f>
        <v>-0.44999999999999996</v>
      </c>
      <c r="G121" s="50">
        <v>10</v>
      </c>
      <c r="H121" s="51">
        <v>10</v>
      </c>
      <c r="I121" s="52">
        <f>H121-G121</f>
        <v>0</v>
      </c>
      <c r="J121" s="52"/>
      <c r="K121" s="52"/>
      <c r="L121" s="50">
        <v>10</v>
      </c>
      <c r="M121" s="53">
        <v>0</v>
      </c>
      <c r="N121" s="25">
        <v>0</v>
      </c>
      <c r="O121" s="25">
        <v>0</v>
      </c>
      <c r="P121" s="51">
        <v>0</v>
      </c>
      <c r="Q121" s="50">
        <v>10</v>
      </c>
      <c r="R121" s="53">
        <v>0</v>
      </c>
      <c r="S121" s="25">
        <v>0</v>
      </c>
      <c r="T121" s="25">
        <v>0</v>
      </c>
      <c r="U121" s="51">
        <v>0</v>
      </c>
      <c r="V121" s="54">
        <v>0.2</v>
      </c>
      <c r="W121" s="55">
        <v>0.26842948717948717</v>
      </c>
      <c r="Y121" s="29">
        <v>40</v>
      </c>
      <c r="Z121" s="56"/>
      <c r="AA121" s="44" t="str">
        <f>_xlfn.CONCAT(B121," ",C121)</f>
        <v>Byron Neal</v>
      </c>
      <c r="AC121" s="56" t="s">
        <v>30</v>
      </c>
      <c r="AD121" s="56" t="s">
        <v>40</v>
      </c>
    </row>
    <row r="122" spans="1:38" x14ac:dyDescent="0.25">
      <c r="A122" s="98"/>
      <c r="B122" s="98" t="s">
        <v>195</v>
      </c>
      <c r="C122" s="105" t="s">
        <v>196</v>
      </c>
      <c r="D122" s="58">
        <v>0.7</v>
      </c>
      <c r="E122" s="48">
        <v>1</v>
      </c>
      <c r="F122" s="49">
        <f>E122-D122</f>
        <v>0.30000000000000004</v>
      </c>
      <c r="G122" s="50">
        <v>45</v>
      </c>
      <c r="H122" s="51">
        <v>40</v>
      </c>
      <c r="I122" s="52">
        <f>H122-G122</f>
        <v>-5</v>
      </c>
      <c r="J122" s="52"/>
      <c r="K122" s="52"/>
      <c r="L122" s="50">
        <v>50</v>
      </c>
      <c r="M122" s="53">
        <v>0</v>
      </c>
      <c r="N122" s="25">
        <v>0</v>
      </c>
      <c r="O122" s="25">
        <v>0</v>
      </c>
      <c r="P122" s="51">
        <v>0</v>
      </c>
      <c r="Q122" s="50">
        <v>50</v>
      </c>
      <c r="R122" s="53">
        <v>0</v>
      </c>
      <c r="S122" s="25">
        <v>0</v>
      </c>
      <c r="T122" s="25">
        <v>0</v>
      </c>
      <c r="U122" s="51">
        <v>0</v>
      </c>
      <c r="V122" s="54">
        <v>1</v>
      </c>
      <c r="W122" s="55">
        <v>0.891156462585034</v>
      </c>
      <c r="Y122" s="29">
        <v>40</v>
      </c>
      <c r="Z122" s="56"/>
      <c r="AA122" s="44" t="str">
        <f>_xlfn.CONCAT(B122," ",C122)</f>
        <v>Natalie Psarros</v>
      </c>
      <c r="AC122" s="56" t="s">
        <v>30</v>
      </c>
      <c r="AD122" s="56" t="s">
        <v>40</v>
      </c>
    </row>
    <row r="123" spans="1:38" x14ac:dyDescent="0.25">
      <c r="A123" s="98"/>
      <c r="B123" s="98" t="s">
        <v>108</v>
      </c>
      <c r="C123" s="105" t="s">
        <v>197</v>
      </c>
      <c r="D123" s="58">
        <v>0.7</v>
      </c>
      <c r="E123" s="48">
        <v>0.73750000000000004</v>
      </c>
      <c r="F123" s="49">
        <f>E123-D123</f>
        <v>3.7500000000000089E-2</v>
      </c>
      <c r="G123" s="50">
        <v>30</v>
      </c>
      <c r="H123" s="51">
        <v>29.5</v>
      </c>
      <c r="I123" s="52">
        <f>H123-G123</f>
        <v>-0.5</v>
      </c>
      <c r="J123" s="52"/>
      <c r="K123" s="52"/>
      <c r="L123" s="50">
        <v>40</v>
      </c>
      <c r="M123" s="53">
        <v>0</v>
      </c>
      <c r="N123" s="25">
        <v>0</v>
      </c>
      <c r="O123" s="25">
        <v>0</v>
      </c>
      <c r="P123" s="51">
        <v>0</v>
      </c>
      <c r="Q123" s="50">
        <v>30</v>
      </c>
      <c r="R123" s="53">
        <v>0</v>
      </c>
      <c r="S123" s="25">
        <v>0</v>
      </c>
      <c r="T123" s="25">
        <v>0</v>
      </c>
      <c r="U123" s="51">
        <v>0</v>
      </c>
      <c r="V123" s="54">
        <v>0.74375000000000002</v>
      </c>
      <c r="W123" s="55">
        <v>0.42474489795918369</v>
      </c>
      <c r="Y123" s="29">
        <v>40</v>
      </c>
      <c r="Z123" s="56"/>
      <c r="AA123" s="44" t="str">
        <f>_xlfn.CONCAT(B123," ",C123)</f>
        <v>David Stoeckle</v>
      </c>
      <c r="AC123" s="56" t="s">
        <v>30</v>
      </c>
      <c r="AD123" s="56" t="s">
        <v>40</v>
      </c>
    </row>
    <row r="124" spans="1:38" x14ac:dyDescent="0.25">
      <c r="A124" s="98"/>
      <c r="B124" s="98" t="s">
        <v>198</v>
      </c>
      <c r="C124" s="105" t="s">
        <v>199</v>
      </c>
      <c r="D124" s="58">
        <v>0.7</v>
      </c>
      <c r="E124" s="48">
        <v>0.375</v>
      </c>
      <c r="F124" s="49">
        <f t="shared" ref="F124" si="53">E124-D124</f>
        <v>-0.32499999999999996</v>
      </c>
      <c r="G124" s="50">
        <v>19</v>
      </c>
      <c r="H124" s="51">
        <v>15</v>
      </c>
      <c r="I124" s="52">
        <f t="shared" ref="I124" si="54">H124-G124</f>
        <v>-4</v>
      </c>
      <c r="J124" s="52"/>
      <c r="K124" s="52"/>
      <c r="L124" s="50">
        <v>15</v>
      </c>
      <c r="M124" s="53">
        <v>0</v>
      </c>
      <c r="N124" s="25">
        <v>0</v>
      </c>
      <c r="O124" s="25">
        <v>0</v>
      </c>
      <c r="P124" s="51">
        <v>0</v>
      </c>
      <c r="Q124" s="50">
        <v>15</v>
      </c>
      <c r="R124" s="53">
        <v>0</v>
      </c>
      <c r="S124" s="25">
        <v>0</v>
      </c>
      <c r="T124" s="25">
        <v>0</v>
      </c>
      <c r="U124" s="51">
        <v>0</v>
      </c>
      <c r="V124" s="54">
        <v>0.44374999999999998</v>
      </c>
      <c r="W124" s="55">
        <v>0.55736940298507465</v>
      </c>
      <c r="Y124" s="29">
        <v>40</v>
      </c>
      <c r="Z124" s="56"/>
      <c r="AA124" s="44" t="str">
        <f t="shared" ref="AA124:AA126" si="55">_xlfn.CONCAT(B124," ",C124)</f>
        <v>Madeline Kavooras</v>
      </c>
      <c r="AC124" s="56" t="s">
        <v>30</v>
      </c>
      <c r="AD124" s="56" t="s">
        <v>41</v>
      </c>
    </row>
    <row r="125" spans="1:38" x14ac:dyDescent="0.25">
      <c r="A125" s="98"/>
      <c r="B125" s="99" t="s">
        <v>200</v>
      </c>
      <c r="C125" s="100" t="s">
        <v>201</v>
      </c>
      <c r="D125" s="58">
        <v>0.7</v>
      </c>
      <c r="E125" s="48">
        <v>0.72499999999999998</v>
      </c>
      <c r="F125" s="49">
        <f>E125-D125</f>
        <v>2.5000000000000022E-2</v>
      </c>
      <c r="G125" s="50">
        <v>28</v>
      </c>
      <c r="H125" s="51">
        <v>29</v>
      </c>
      <c r="I125" s="52">
        <f>H125-G125</f>
        <v>1</v>
      </c>
      <c r="J125" s="52"/>
      <c r="K125" s="52"/>
      <c r="L125" s="50">
        <v>37</v>
      </c>
      <c r="M125" s="53">
        <v>0</v>
      </c>
      <c r="N125" s="25">
        <v>0</v>
      </c>
      <c r="O125" s="25">
        <v>0</v>
      </c>
      <c r="P125" s="51">
        <v>0</v>
      </c>
      <c r="Q125" s="50">
        <v>38</v>
      </c>
      <c r="R125" s="53">
        <v>0</v>
      </c>
      <c r="S125" s="25">
        <v>0</v>
      </c>
      <c r="T125" s="25">
        <v>0</v>
      </c>
      <c r="U125" s="51">
        <v>0</v>
      </c>
      <c r="V125" s="54">
        <v>0.74687499999999996</v>
      </c>
      <c r="W125" s="55">
        <v>1.0434276814734562</v>
      </c>
      <c r="X125" s="60"/>
      <c r="Y125" s="29">
        <v>40</v>
      </c>
      <c r="Z125" s="56"/>
      <c r="AA125" s="44" t="str">
        <f t="shared" si="55"/>
        <v>Gary Shlahtichman</v>
      </c>
      <c r="AB125" s="101"/>
      <c r="AC125" s="56" t="s">
        <v>31</v>
      </c>
      <c r="AD125" s="56" t="s">
        <v>35</v>
      </c>
      <c r="AF125" s="98"/>
      <c r="AG125" s="98"/>
      <c r="AH125" s="98"/>
      <c r="AI125" s="97"/>
      <c r="AJ125" s="97"/>
      <c r="AK125" s="103"/>
      <c r="AL125" s="104"/>
    </row>
    <row r="126" spans="1:38" x14ac:dyDescent="0.25">
      <c r="A126" s="98"/>
      <c r="B126" s="98" t="s">
        <v>202</v>
      </c>
      <c r="C126" s="105" t="s">
        <v>203</v>
      </c>
      <c r="D126" s="58">
        <v>0.7</v>
      </c>
      <c r="E126" s="48">
        <v>0.6875</v>
      </c>
      <c r="F126" s="49">
        <f t="shared" ref="F126" si="56">E126-D126</f>
        <v>-1.2499999999999956E-2</v>
      </c>
      <c r="G126" s="50">
        <v>21.5</v>
      </c>
      <c r="H126" s="51">
        <v>27.5</v>
      </c>
      <c r="I126" s="52">
        <f t="shared" ref="I126" si="57">H126-G126</f>
        <v>6</v>
      </c>
      <c r="J126" s="52"/>
      <c r="K126" s="52"/>
      <c r="L126" s="50">
        <v>19.5</v>
      </c>
      <c r="M126" s="53">
        <v>0</v>
      </c>
      <c r="N126" s="25">
        <v>0</v>
      </c>
      <c r="O126" s="25">
        <v>0</v>
      </c>
      <c r="P126" s="51">
        <v>0</v>
      </c>
      <c r="Q126" s="50">
        <v>17</v>
      </c>
      <c r="R126" s="53">
        <v>0</v>
      </c>
      <c r="S126" s="25">
        <v>0</v>
      </c>
      <c r="T126" s="25">
        <v>0</v>
      </c>
      <c r="U126" s="51">
        <v>0</v>
      </c>
      <c r="V126" s="54">
        <v>0.65</v>
      </c>
      <c r="W126" s="55">
        <v>0.50372512437810946</v>
      </c>
      <c r="Y126" s="29">
        <v>40.5</v>
      </c>
      <c r="Z126" s="56"/>
      <c r="AA126" s="44" t="str">
        <f t="shared" si="55"/>
        <v>Sarah Winchester</v>
      </c>
      <c r="AC126" s="56" t="s">
        <v>30</v>
      </c>
      <c r="AD126" s="56" t="s">
        <v>41</v>
      </c>
    </row>
    <row r="127" spans="1:38" ht="16.5" x14ac:dyDescent="0.35">
      <c r="A127" s="45" t="s">
        <v>204</v>
      </c>
      <c r="B127" s="98"/>
      <c r="C127" s="105"/>
      <c r="D127" s="106"/>
      <c r="E127" s="48"/>
      <c r="F127" s="49"/>
      <c r="G127" s="50"/>
      <c r="H127" s="51"/>
      <c r="I127" s="52"/>
      <c r="J127" s="52"/>
      <c r="K127" s="52"/>
      <c r="L127" s="50"/>
      <c r="M127" s="53"/>
      <c r="N127" s="25"/>
      <c r="O127" s="25"/>
      <c r="P127" s="51"/>
      <c r="Q127" s="50"/>
      <c r="R127" s="53"/>
      <c r="S127" s="25"/>
      <c r="T127" s="25"/>
      <c r="U127" s="51"/>
      <c r="V127" s="54"/>
      <c r="W127" s="55"/>
      <c r="X127" s="60"/>
      <c r="Y127" s="29"/>
      <c r="Z127" s="56"/>
      <c r="AA127" s="44"/>
      <c r="AC127" s="56"/>
      <c r="AD127" s="56"/>
    </row>
    <row r="128" spans="1:38" ht="16.5" x14ac:dyDescent="0.35">
      <c r="A128" s="45"/>
      <c r="B128" s="98" t="s">
        <v>205</v>
      </c>
      <c r="C128" s="105" t="s">
        <v>206</v>
      </c>
      <c r="D128" s="58">
        <v>0.2</v>
      </c>
      <c r="E128" s="48">
        <v>0</v>
      </c>
      <c r="F128" s="49">
        <f>E128-D128</f>
        <v>-0.2</v>
      </c>
      <c r="G128" s="50">
        <v>0</v>
      </c>
      <c r="H128" s="51">
        <v>0</v>
      </c>
      <c r="I128" s="52">
        <f>H128-G128</f>
        <v>0</v>
      </c>
      <c r="J128" s="52"/>
      <c r="K128" s="52"/>
      <c r="L128" s="50">
        <v>0</v>
      </c>
      <c r="M128" s="53">
        <v>0</v>
      </c>
      <c r="N128" s="25">
        <v>0</v>
      </c>
      <c r="O128" s="25">
        <v>0</v>
      </c>
      <c r="P128" s="51">
        <v>0</v>
      </c>
      <c r="Q128" s="50">
        <v>0</v>
      </c>
      <c r="R128" s="53">
        <v>0</v>
      </c>
      <c r="S128" s="25">
        <v>0</v>
      </c>
      <c r="T128" s="25">
        <v>0</v>
      </c>
      <c r="U128" s="51">
        <v>0</v>
      </c>
      <c r="V128" s="54">
        <v>0</v>
      </c>
      <c r="W128" s="55">
        <v>0</v>
      </c>
      <c r="Y128" s="29">
        <v>40</v>
      </c>
      <c r="Z128" s="56"/>
      <c r="AA128" s="44" t="str">
        <f>_xlfn.CONCAT(B128," ",C128)</f>
        <v>Jimmy Cordy</v>
      </c>
      <c r="AC128" s="56" t="s">
        <v>29</v>
      </c>
      <c r="AD128" s="56" t="s">
        <v>29</v>
      </c>
    </row>
    <row r="129" spans="1:30" ht="16.5" x14ac:dyDescent="0.35">
      <c r="A129" s="45"/>
      <c r="B129" s="98" t="s">
        <v>207</v>
      </c>
      <c r="C129" s="105" t="s">
        <v>208</v>
      </c>
      <c r="D129" s="58">
        <v>0.2</v>
      </c>
      <c r="E129" s="48">
        <v>0</v>
      </c>
      <c r="F129" s="49">
        <f>E129-D129</f>
        <v>-0.2</v>
      </c>
      <c r="G129" s="50">
        <v>0</v>
      </c>
      <c r="H129" s="51">
        <v>0</v>
      </c>
      <c r="I129" s="52">
        <f>H129-G129</f>
        <v>0</v>
      </c>
      <c r="J129" s="52"/>
      <c r="K129" s="52"/>
      <c r="L129" s="50">
        <v>0</v>
      </c>
      <c r="M129" s="53">
        <v>0</v>
      </c>
      <c r="N129" s="25">
        <v>0</v>
      </c>
      <c r="O129" s="25">
        <v>0</v>
      </c>
      <c r="P129" s="51">
        <v>0</v>
      </c>
      <c r="Q129" s="50">
        <v>0</v>
      </c>
      <c r="R129" s="53">
        <v>0</v>
      </c>
      <c r="S129" s="25">
        <v>0</v>
      </c>
      <c r="T129" s="25">
        <v>0</v>
      </c>
      <c r="U129" s="51">
        <v>0</v>
      </c>
      <c r="V129" s="54">
        <v>0</v>
      </c>
      <c r="W129" s="55">
        <v>0</v>
      </c>
      <c r="Y129" s="29">
        <v>44.5</v>
      </c>
      <c r="Z129" s="56"/>
      <c r="AA129" s="44" t="str">
        <f t="shared" ref="AA129:AA130" si="58">_xlfn.CONCAT(B129," ",C129)</f>
        <v>MaryCarol Dolivier</v>
      </c>
      <c r="AC129" s="56" t="s">
        <v>29</v>
      </c>
      <c r="AD129" s="56" t="s">
        <v>29</v>
      </c>
    </row>
    <row r="130" spans="1:30" x14ac:dyDescent="0.25">
      <c r="A130" s="98"/>
      <c r="B130" s="98" t="s">
        <v>209</v>
      </c>
      <c r="C130" s="105" t="s">
        <v>210</v>
      </c>
      <c r="D130" s="58">
        <v>0.2</v>
      </c>
      <c r="E130" s="48">
        <v>0.5</v>
      </c>
      <c r="F130" s="49">
        <f>E130-D130</f>
        <v>0.3</v>
      </c>
      <c r="G130" s="50">
        <v>20</v>
      </c>
      <c r="H130" s="51">
        <v>20</v>
      </c>
      <c r="I130" s="52">
        <f>H130-G130</f>
        <v>0</v>
      </c>
      <c r="J130" s="52"/>
      <c r="K130" s="52"/>
      <c r="L130" s="50">
        <v>20</v>
      </c>
      <c r="M130" s="53">
        <v>0</v>
      </c>
      <c r="N130" s="25">
        <v>0</v>
      </c>
      <c r="O130" s="25">
        <v>0</v>
      </c>
      <c r="P130" s="51">
        <v>0</v>
      </c>
      <c r="Q130" s="50">
        <v>20</v>
      </c>
      <c r="R130" s="53">
        <v>0</v>
      </c>
      <c r="S130" s="25">
        <v>0</v>
      </c>
      <c r="T130" s="25">
        <v>0</v>
      </c>
      <c r="U130" s="51">
        <v>0</v>
      </c>
      <c r="V130" s="54">
        <v>0.5</v>
      </c>
      <c r="W130" s="55">
        <v>0.3383084577114428</v>
      </c>
      <c r="Y130" s="29">
        <v>40</v>
      </c>
      <c r="Z130" s="56"/>
      <c r="AA130" s="44" t="str">
        <f t="shared" si="58"/>
        <v>Rehan Iqbal</v>
      </c>
      <c r="AC130" s="56" t="s">
        <v>29</v>
      </c>
      <c r="AD130" s="56" t="s">
        <v>29</v>
      </c>
    </row>
    <row r="131" spans="1:30" ht="16.5" x14ac:dyDescent="0.35">
      <c r="A131" s="151" t="s">
        <v>211</v>
      </c>
      <c r="B131" s="151"/>
      <c r="C131" s="152"/>
      <c r="D131" s="58"/>
      <c r="E131" s="48"/>
      <c r="F131" s="49"/>
      <c r="G131" s="50"/>
      <c r="H131" s="51"/>
      <c r="I131" s="52"/>
      <c r="J131" s="52"/>
      <c r="K131" s="52"/>
      <c r="L131" s="50"/>
      <c r="M131" s="53"/>
      <c r="N131" s="25"/>
      <c r="O131" s="25"/>
      <c r="P131" s="51"/>
      <c r="Q131" s="50"/>
      <c r="R131" s="53"/>
      <c r="S131" s="25"/>
      <c r="T131" s="25"/>
      <c r="U131" s="51"/>
      <c r="V131" s="54"/>
      <c r="W131" s="55"/>
      <c r="X131" s="60"/>
      <c r="Y131" s="44"/>
      <c r="Z131" s="56"/>
      <c r="AA131" s="44"/>
      <c r="AC131" s="56"/>
      <c r="AD131" s="56"/>
    </row>
    <row r="132" spans="1:30" x14ac:dyDescent="0.25">
      <c r="A132" s="98"/>
      <c r="B132" s="98"/>
      <c r="C132" s="98"/>
      <c r="D132" s="58"/>
      <c r="E132" s="48"/>
      <c r="F132" s="49"/>
      <c r="G132" s="50"/>
      <c r="H132" s="51"/>
      <c r="I132" s="52"/>
      <c r="J132" s="52"/>
      <c r="K132" s="52"/>
      <c r="L132" s="50"/>
      <c r="M132" s="53"/>
      <c r="N132" s="25"/>
      <c r="O132" s="25"/>
      <c r="P132" s="51"/>
      <c r="Q132" s="50"/>
      <c r="R132" s="53"/>
      <c r="S132" s="25"/>
      <c r="T132" s="25"/>
      <c r="U132" s="51"/>
      <c r="V132" s="54"/>
      <c r="W132" s="55"/>
      <c r="Y132" s="29"/>
      <c r="Z132" s="56"/>
      <c r="AA132" s="44"/>
      <c r="AB132" s="101"/>
      <c r="AC132" s="56"/>
      <c r="AD132" s="56"/>
    </row>
    <row r="133" spans="1:30" x14ac:dyDescent="0.25">
      <c r="A133" s="98"/>
      <c r="B133" s="98"/>
      <c r="C133" s="98"/>
      <c r="D133" s="58"/>
      <c r="E133" s="48"/>
      <c r="F133" s="49"/>
      <c r="G133" s="50"/>
      <c r="H133" s="51"/>
      <c r="I133" s="52"/>
      <c r="J133" s="52"/>
      <c r="K133" s="52"/>
      <c r="L133" s="50"/>
      <c r="M133" s="53"/>
      <c r="N133" s="25"/>
      <c r="O133" s="25"/>
      <c r="P133" s="51"/>
      <c r="Q133" s="50"/>
      <c r="R133" s="53"/>
      <c r="S133" s="25"/>
      <c r="T133" s="25"/>
      <c r="U133" s="51"/>
      <c r="V133" s="54"/>
      <c r="W133" s="55"/>
      <c r="X133" s="60"/>
      <c r="Y133" s="29"/>
      <c r="Z133" s="56"/>
      <c r="AA133" s="44"/>
      <c r="AB133" s="101"/>
      <c r="AC133" s="56"/>
      <c r="AD133" s="56"/>
    </row>
    <row r="134" spans="1:30" ht="16.5" x14ac:dyDescent="0.35">
      <c r="A134" s="45" t="s">
        <v>212</v>
      </c>
      <c r="B134" s="98"/>
      <c r="C134" s="105"/>
      <c r="D134" s="106"/>
      <c r="E134" s="48"/>
      <c r="F134" s="49"/>
      <c r="G134" s="50"/>
      <c r="H134" s="51"/>
      <c r="I134" s="52"/>
      <c r="J134" s="52"/>
      <c r="K134" s="52"/>
      <c r="L134" s="50"/>
      <c r="M134" s="53"/>
      <c r="N134" s="25"/>
      <c r="O134" s="25"/>
      <c r="P134" s="51"/>
      <c r="Q134" s="50"/>
      <c r="R134" s="53"/>
      <c r="S134" s="25"/>
      <c r="T134" s="25"/>
      <c r="U134" s="51"/>
      <c r="V134" s="54"/>
      <c r="W134" s="55"/>
      <c r="X134" s="60"/>
      <c r="Y134" s="29"/>
      <c r="Z134" s="56"/>
      <c r="AA134" s="44"/>
      <c r="AC134" s="56"/>
      <c r="AD134" s="56"/>
    </row>
    <row r="135" spans="1:30" x14ac:dyDescent="0.25">
      <c r="A135" s="98"/>
      <c r="B135" s="44" t="s">
        <v>213</v>
      </c>
      <c r="C135" s="44" t="s">
        <v>214</v>
      </c>
      <c r="D135" s="109" t="s">
        <v>215</v>
      </c>
      <c r="E135" s="110" t="s">
        <v>215</v>
      </c>
      <c r="F135" s="111" t="s">
        <v>215</v>
      </c>
      <c r="G135" s="50">
        <v>40</v>
      </c>
      <c r="H135" s="51">
        <v>8</v>
      </c>
      <c r="I135" s="52">
        <f t="shared" ref="I135:I140" si="59">H135-G135</f>
        <v>-32</v>
      </c>
      <c r="J135" s="52"/>
      <c r="K135" s="52"/>
      <c r="L135" s="50">
        <v>40</v>
      </c>
      <c r="M135" s="53">
        <v>0</v>
      </c>
      <c r="N135" s="25">
        <v>0</v>
      </c>
      <c r="O135" s="25">
        <v>0</v>
      </c>
      <c r="P135" s="51">
        <v>0</v>
      </c>
      <c r="Q135" s="50">
        <v>40</v>
      </c>
      <c r="R135" s="53">
        <v>0</v>
      </c>
      <c r="S135" s="25">
        <v>0</v>
      </c>
      <c r="T135" s="25">
        <v>0</v>
      </c>
      <c r="U135" s="51">
        <v>0</v>
      </c>
      <c r="V135" s="112"/>
      <c r="W135" s="113"/>
      <c r="Y135" s="29">
        <f t="shared" ref="Y135:Y140" si="60">H135</f>
        <v>8</v>
      </c>
      <c r="Z135" s="56"/>
      <c r="AA135" s="44" t="str">
        <f t="shared" ref="AA135:AA137" si="61">_xlfn.CONCAT(B135," ",C135)</f>
        <v>Sadiq Ahmed</v>
      </c>
      <c r="AC135" s="44" t="s">
        <v>212</v>
      </c>
      <c r="AD135" s="44" t="s">
        <v>212</v>
      </c>
    </row>
    <row r="136" spans="1:30" x14ac:dyDescent="0.25">
      <c r="A136" s="98"/>
      <c r="B136" s="44" t="s">
        <v>216</v>
      </c>
      <c r="C136" s="44" t="s">
        <v>217</v>
      </c>
      <c r="D136" s="109" t="s">
        <v>215</v>
      </c>
      <c r="E136" s="110" t="s">
        <v>215</v>
      </c>
      <c r="F136" s="111" t="s">
        <v>215</v>
      </c>
      <c r="G136" s="50">
        <v>0</v>
      </c>
      <c r="H136" s="51">
        <v>7</v>
      </c>
      <c r="I136" s="52">
        <f t="shared" si="59"/>
        <v>7</v>
      </c>
      <c r="J136" s="52"/>
      <c r="K136" s="52"/>
      <c r="L136" s="50">
        <v>0</v>
      </c>
      <c r="M136" s="53">
        <v>0</v>
      </c>
      <c r="N136" s="25">
        <v>0</v>
      </c>
      <c r="O136" s="25">
        <v>0</v>
      </c>
      <c r="P136" s="51">
        <v>0</v>
      </c>
      <c r="Q136" s="50">
        <v>0</v>
      </c>
      <c r="R136" s="53">
        <v>0</v>
      </c>
      <c r="S136" s="25">
        <v>0</v>
      </c>
      <c r="T136" s="25">
        <v>0</v>
      </c>
      <c r="U136" s="51">
        <v>0</v>
      </c>
      <c r="V136" s="112"/>
      <c r="W136" s="113"/>
      <c r="Y136" s="29">
        <f t="shared" si="60"/>
        <v>7</v>
      </c>
      <c r="Z136" s="56"/>
      <c r="AA136" s="44" t="str">
        <f t="shared" si="61"/>
        <v>Eli Brown</v>
      </c>
      <c r="AC136" s="44" t="s">
        <v>212</v>
      </c>
      <c r="AD136" s="44" t="s">
        <v>212</v>
      </c>
    </row>
    <row r="137" spans="1:30" x14ac:dyDescent="0.25">
      <c r="A137" s="98"/>
      <c r="B137" s="44" t="s">
        <v>218</v>
      </c>
      <c r="C137" s="44" t="s">
        <v>219</v>
      </c>
      <c r="D137" s="109" t="s">
        <v>215</v>
      </c>
      <c r="E137" s="110" t="s">
        <v>215</v>
      </c>
      <c r="F137" s="111" t="s">
        <v>215</v>
      </c>
      <c r="G137" s="50">
        <v>24</v>
      </c>
      <c r="H137" s="51">
        <v>40</v>
      </c>
      <c r="I137" s="52">
        <f t="shared" si="59"/>
        <v>16</v>
      </c>
      <c r="J137" s="52"/>
      <c r="K137" s="52"/>
      <c r="L137" s="50">
        <v>40</v>
      </c>
      <c r="M137" s="53">
        <v>0</v>
      </c>
      <c r="N137" s="25">
        <v>0</v>
      </c>
      <c r="O137" s="25">
        <v>0</v>
      </c>
      <c r="P137" s="51">
        <v>0</v>
      </c>
      <c r="Q137" s="50">
        <v>40</v>
      </c>
      <c r="R137" s="53">
        <v>0</v>
      </c>
      <c r="S137" s="25">
        <v>0</v>
      </c>
      <c r="T137" s="25">
        <v>0</v>
      </c>
      <c r="U137" s="51">
        <v>0</v>
      </c>
      <c r="V137" s="112"/>
      <c r="W137" s="113"/>
      <c r="Y137" s="29">
        <f t="shared" si="60"/>
        <v>40</v>
      </c>
      <c r="Z137" s="56"/>
      <c r="AA137" s="44" t="str">
        <f t="shared" si="61"/>
        <v>Jeremy Corbello</v>
      </c>
      <c r="AC137" s="44" t="s">
        <v>212</v>
      </c>
      <c r="AD137" s="44" t="s">
        <v>212</v>
      </c>
    </row>
    <row r="138" spans="1:30" x14ac:dyDescent="0.25">
      <c r="A138" s="98"/>
      <c r="B138" s="44" t="s">
        <v>220</v>
      </c>
      <c r="C138" s="44" t="s">
        <v>221</v>
      </c>
      <c r="D138" s="109" t="s">
        <v>215</v>
      </c>
      <c r="E138" s="110" t="s">
        <v>215</v>
      </c>
      <c r="F138" s="111" t="s">
        <v>215</v>
      </c>
      <c r="G138" s="50">
        <v>13</v>
      </c>
      <c r="H138" s="51">
        <v>14.5</v>
      </c>
      <c r="I138" s="52">
        <f t="shared" si="59"/>
        <v>1.5</v>
      </c>
      <c r="J138" s="52"/>
      <c r="K138" s="52"/>
      <c r="L138" s="50">
        <v>13</v>
      </c>
      <c r="M138" s="53">
        <v>0</v>
      </c>
      <c r="N138" s="25">
        <v>0</v>
      </c>
      <c r="O138" s="25">
        <v>0</v>
      </c>
      <c r="P138" s="51">
        <v>0</v>
      </c>
      <c r="Q138" s="50">
        <v>13</v>
      </c>
      <c r="R138" s="53">
        <v>0</v>
      </c>
      <c r="S138" s="25">
        <v>0</v>
      </c>
      <c r="T138" s="25">
        <v>0</v>
      </c>
      <c r="U138" s="51">
        <v>0</v>
      </c>
      <c r="V138" s="112"/>
      <c r="W138" s="113"/>
      <c r="Y138" s="29">
        <f t="shared" si="60"/>
        <v>14.5</v>
      </c>
      <c r="Z138" s="56"/>
      <c r="AA138" s="44" t="str">
        <f>_xlfn.CONCAT(B138," ",C138)</f>
        <v>Sharle Dille</v>
      </c>
      <c r="AC138" s="44" t="s">
        <v>212</v>
      </c>
      <c r="AD138" s="44" t="s">
        <v>212</v>
      </c>
    </row>
    <row r="139" spans="1:30" x14ac:dyDescent="0.25">
      <c r="A139" s="98"/>
      <c r="B139" s="44" t="s">
        <v>222</v>
      </c>
      <c r="C139" s="44" t="s">
        <v>223</v>
      </c>
      <c r="D139" s="109" t="s">
        <v>215</v>
      </c>
      <c r="E139" s="110" t="s">
        <v>215</v>
      </c>
      <c r="F139" s="111" t="s">
        <v>215</v>
      </c>
      <c r="G139" s="50">
        <v>40</v>
      </c>
      <c r="H139" s="51">
        <v>40</v>
      </c>
      <c r="I139" s="52">
        <f t="shared" si="59"/>
        <v>0</v>
      </c>
      <c r="J139" s="52"/>
      <c r="K139" s="52"/>
      <c r="L139" s="50">
        <v>40</v>
      </c>
      <c r="M139" s="53">
        <v>0</v>
      </c>
      <c r="N139" s="25">
        <v>0</v>
      </c>
      <c r="O139" s="25">
        <v>0</v>
      </c>
      <c r="P139" s="51">
        <v>0</v>
      </c>
      <c r="Q139" s="50">
        <v>40</v>
      </c>
      <c r="R139" s="53">
        <v>0</v>
      </c>
      <c r="S139" s="25">
        <v>0</v>
      </c>
      <c r="T139" s="25">
        <v>0</v>
      </c>
      <c r="U139" s="51">
        <v>0</v>
      </c>
      <c r="V139" s="112"/>
      <c r="W139" s="113"/>
      <c r="Y139" s="29">
        <f t="shared" si="60"/>
        <v>40</v>
      </c>
      <c r="Z139" s="56"/>
      <c r="AA139" s="44" t="str">
        <f>_xlfn.CONCAT(B139," ",C139)</f>
        <v>Mohammad Ghouri</v>
      </c>
      <c r="AC139" s="44" t="s">
        <v>212</v>
      </c>
      <c r="AD139" s="44" t="s">
        <v>212</v>
      </c>
    </row>
    <row r="140" spans="1:30" x14ac:dyDescent="0.25">
      <c r="A140" s="98"/>
      <c r="B140" s="44" t="s">
        <v>224</v>
      </c>
      <c r="C140" s="44" t="s">
        <v>225</v>
      </c>
      <c r="D140" s="109" t="s">
        <v>215</v>
      </c>
      <c r="E140" s="110" t="s">
        <v>215</v>
      </c>
      <c r="F140" s="111" t="s">
        <v>215</v>
      </c>
      <c r="G140" s="50">
        <v>0</v>
      </c>
      <c r="H140" s="51">
        <v>0</v>
      </c>
      <c r="I140" s="52">
        <f t="shared" si="59"/>
        <v>0</v>
      </c>
      <c r="J140" s="52"/>
      <c r="K140" s="52"/>
      <c r="L140" s="50">
        <v>40</v>
      </c>
      <c r="M140" s="53">
        <v>0</v>
      </c>
      <c r="N140" s="25">
        <v>0</v>
      </c>
      <c r="O140" s="25">
        <v>0</v>
      </c>
      <c r="P140" s="51">
        <v>0</v>
      </c>
      <c r="Q140" s="50">
        <v>40</v>
      </c>
      <c r="R140" s="53">
        <v>0</v>
      </c>
      <c r="S140" s="25">
        <v>0</v>
      </c>
      <c r="T140" s="25">
        <v>0</v>
      </c>
      <c r="U140" s="51">
        <v>0</v>
      </c>
      <c r="V140" s="112"/>
      <c r="W140" s="113"/>
      <c r="Y140" s="29">
        <f t="shared" si="60"/>
        <v>0</v>
      </c>
      <c r="Z140" s="56"/>
      <c r="AA140" s="44" t="str">
        <f>_xlfn.CONCAT(B140," ",C140)</f>
        <v>Santosh Poudyal</v>
      </c>
      <c r="AC140" s="44" t="s">
        <v>212</v>
      </c>
      <c r="AD140" s="44" t="s">
        <v>212</v>
      </c>
    </row>
    <row r="141" spans="1:30" ht="18.95" customHeight="1" x14ac:dyDescent="0.35">
      <c r="A141" s="45" t="s">
        <v>226</v>
      </c>
      <c r="B141" s="44"/>
      <c r="C141" s="44"/>
      <c r="D141" s="106"/>
      <c r="E141" s="48"/>
      <c r="F141" s="49"/>
      <c r="G141" s="50"/>
      <c r="H141" s="51"/>
      <c r="I141" s="52"/>
      <c r="J141" s="52"/>
      <c r="K141" s="52"/>
      <c r="L141" s="50"/>
      <c r="M141" s="53"/>
      <c r="N141" s="25"/>
      <c r="O141" s="25"/>
      <c r="P141" s="51"/>
      <c r="Q141" s="50"/>
      <c r="R141" s="53"/>
      <c r="S141" s="25"/>
      <c r="T141" s="25"/>
      <c r="U141" s="51"/>
      <c r="V141" s="54"/>
      <c r="W141" s="55"/>
      <c r="X141" s="60"/>
      <c r="Y141" s="29"/>
      <c r="Z141" s="56"/>
      <c r="AA141" s="44"/>
      <c r="AC141" s="56"/>
      <c r="AD141" s="56"/>
    </row>
    <row r="142" spans="1:30" x14ac:dyDescent="0.25">
      <c r="A142" s="44" t="s">
        <v>227</v>
      </c>
      <c r="B142" s="44"/>
      <c r="C142" s="114"/>
      <c r="D142" s="109"/>
      <c r="E142" s="110"/>
      <c r="F142" s="115"/>
      <c r="G142" s="50">
        <v>0</v>
      </c>
      <c r="H142" s="51"/>
      <c r="I142" s="52">
        <f t="shared" ref="I142" si="62">H142-G142</f>
        <v>0</v>
      </c>
      <c r="J142" s="52"/>
      <c r="K142" s="52"/>
      <c r="L142" s="50">
        <v>0</v>
      </c>
      <c r="M142" s="53">
        <v>0</v>
      </c>
      <c r="N142" s="25">
        <v>0</v>
      </c>
      <c r="O142" s="25">
        <v>0</v>
      </c>
      <c r="P142" s="51">
        <v>0</v>
      </c>
      <c r="Q142" s="50">
        <v>0</v>
      </c>
      <c r="R142" s="53">
        <v>0</v>
      </c>
      <c r="S142" s="25">
        <v>0</v>
      </c>
      <c r="T142" s="25">
        <v>0</v>
      </c>
      <c r="U142" s="51">
        <v>0</v>
      </c>
      <c r="V142" s="112"/>
      <c r="W142" s="113"/>
      <c r="Y142" s="29"/>
      <c r="Z142" s="56"/>
      <c r="AA142" s="44" t="str">
        <f>A142</f>
        <v>10M Contractor - Application Engineer</v>
      </c>
      <c r="AC142" s="44"/>
      <c r="AD142" s="44"/>
    </row>
    <row r="143" spans="1:30" x14ac:dyDescent="0.25">
      <c r="A143" s="44" t="s">
        <v>228</v>
      </c>
      <c r="B143" s="44"/>
      <c r="C143" s="114"/>
      <c r="D143" s="109"/>
      <c r="E143" s="110"/>
      <c r="F143" s="115"/>
      <c r="G143" s="50">
        <v>0</v>
      </c>
      <c r="H143" s="51"/>
      <c r="I143" s="52">
        <f>H143-G143</f>
        <v>0</v>
      </c>
      <c r="J143" s="52"/>
      <c r="K143" s="52"/>
      <c r="L143" s="50">
        <v>0</v>
      </c>
      <c r="M143" s="53">
        <v>0</v>
      </c>
      <c r="N143" s="25">
        <v>0</v>
      </c>
      <c r="O143" s="25">
        <v>0</v>
      </c>
      <c r="P143" s="51">
        <v>0</v>
      </c>
      <c r="Q143" s="50">
        <v>0</v>
      </c>
      <c r="R143" s="53">
        <v>0</v>
      </c>
      <c r="S143" s="25">
        <v>0</v>
      </c>
      <c r="T143" s="25">
        <v>0</v>
      </c>
      <c r="U143" s="51">
        <v>0</v>
      </c>
      <c r="V143" s="112"/>
      <c r="W143" s="113"/>
      <c r="Y143" s="29"/>
      <c r="Z143" s="56"/>
      <c r="AA143" s="44" t="str">
        <f t="shared" ref="AA143:AA149" si="63">A143</f>
        <v>10M Contractor - Business Analyst</v>
      </c>
      <c r="AC143" s="44"/>
      <c r="AD143" s="44"/>
    </row>
    <row r="144" spans="1:30" x14ac:dyDescent="0.25">
      <c r="A144" s="44" t="s">
        <v>229</v>
      </c>
      <c r="B144" s="44"/>
      <c r="C144" s="114"/>
      <c r="D144" s="109"/>
      <c r="E144" s="110"/>
      <c r="F144" s="115"/>
      <c r="G144" s="50">
        <v>147.5</v>
      </c>
      <c r="H144" s="51"/>
      <c r="I144" s="52">
        <f t="shared" ref="I144:I149" si="64">H144-G144</f>
        <v>-147.5</v>
      </c>
      <c r="J144" s="52"/>
      <c r="K144" s="52"/>
      <c r="L144" s="50">
        <v>175</v>
      </c>
      <c r="M144" s="53">
        <v>0</v>
      </c>
      <c r="N144" s="25">
        <v>0</v>
      </c>
      <c r="O144" s="25">
        <v>0</v>
      </c>
      <c r="P144" s="51">
        <v>0</v>
      </c>
      <c r="Q144" s="50">
        <v>205</v>
      </c>
      <c r="R144" s="53">
        <v>0</v>
      </c>
      <c r="S144" s="25">
        <v>0</v>
      </c>
      <c r="T144" s="25">
        <v>0</v>
      </c>
      <c r="U144" s="51">
        <v>0</v>
      </c>
      <c r="V144" s="112"/>
      <c r="W144" s="113"/>
      <c r="Y144" s="29"/>
      <c r="Z144" s="56"/>
      <c r="AA144" s="44" t="str">
        <f t="shared" si="63"/>
        <v>CMC Pool User</v>
      </c>
      <c r="AC144" s="44"/>
      <c r="AD144" s="44"/>
    </row>
    <row r="145" spans="1:30" x14ac:dyDescent="0.25">
      <c r="A145" s="44" t="s">
        <v>230</v>
      </c>
      <c r="B145" s="44"/>
      <c r="C145" s="114"/>
      <c r="D145" s="109"/>
      <c r="E145" s="110"/>
      <c r="F145" s="115"/>
      <c r="G145" s="50">
        <v>0</v>
      </c>
      <c r="H145" s="51"/>
      <c r="I145" s="52">
        <f t="shared" si="64"/>
        <v>0</v>
      </c>
      <c r="J145" s="52"/>
      <c r="K145" s="52"/>
      <c r="L145" s="50">
        <v>0</v>
      </c>
      <c r="M145" s="53">
        <v>0</v>
      </c>
      <c r="N145" s="25">
        <v>0</v>
      </c>
      <c r="O145" s="25">
        <v>0</v>
      </c>
      <c r="P145" s="51">
        <v>0</v>
      </c>
      <c r="Q145" s="50">
        <v>0</v>
      </c>
      <c r="R145" s="53">
        <v>0</v>
      </c>
      <c r="S145" s="25">
        <v>0</v>
      </c>
      <c r="T145" s="25">
        <v>0</v>
      </c>
      <c r="U145" s="51">
        <v>0</v>
      </c>
      <c r="V145" s="112"/>
      <c r="W145" s="113"/>
      <c r="Y145" s="29"/>
      <c r="Z145" s="56"/>
      <c r="AA145" s="44" t="str">
        <f t="shared" si="63"/>
        <v>10M Cloud App Architect</v>
      </c>
      <c r="AC145" s="44"/>
      <c r="AD145" s="44"/>
    </row>
    <row r="146" spans="1:30" x14ac:dyDescent="0.25">
      <c r="A146" s="44" t="s">
        <v>231</v>
      </c>
      <c r="B146" s="44"/>
      <c r="C146" s="114"/>
      <c r="D146" s="109"/>
      <c r="E146" s="110"/>
      <c r="F146" s="115"/>
      <c r="G146" s="50">
        <v>0</v>
      </c>
      <c r="H146" s="51"/>
      <c r="I146" s="52">
        <f t="shared" si="64"/>
        <v>0</v>
      </c>
      <c r="J146" s="52"/>
      <c r="K146" s="52"/>
      <c r="L146" s="50">
        <v>0</v>
      </c>
      <c r="M146" s="53">
        <v>0</v>
      </c>
      <c r="N146" s="25">
        <v>0</v>
      </c>
      <c r="O146" s="25">
        <v>0</v>
      </c>
      <c r="P146" s="51">
        <v>0</v>
      </c>
      <c r="Q146" s="50">
        <v>20</v>
      </c>
      <c r="R146" s="53">
        <v>0</v>
      </c>
      <c r="S146" s="25">
        <v>0</v>
      </c>
      <c r="T146" s="25">
        <v>0</v>
      </c>
      <c r="U146" s="51">
        <v>0</v>
      </c>
      <c r="V146" s="112"/>
      <c r="W146" s="113"/>
      <c r="Y146" s="29"/>
      <c r="Z146" s="56"/>
      <c r="AA146" s="44" t="str">
        <f t="shared" si="63"/>
        <v>10M Cloud Engineer</v>
      </c>
      <c r="AC146" s="44"/>
      <c r="AD146" s="44"/>
    </row>
    <row r="147" spans="1:30" x14ac:dyDescent="0.25">
      <c r="A147" s="44" t="s">
        <v>232</v>
      </c>
      <c r="B147" s="44"/>
      <c r="C147" s="114"/>
      <c r="D147" s="109"/>
      <c r="E147" s="110"/>
      <c r="F147" s="115"/>
      <c r="G147" s="50">
        <v>0</v>
      </c>
      <c r="H147" s="51"/>
      <c r="I147" s="52">
        <f t="shared" si="64"/>
        <v>0</v>
      </c>
      <c r="J147" s="52"/>
      <c r="K147" s="52"/>
      <c r="L147" s="50">
        <v>0</v>
      </c>
      <c r="M147" s="53">
        <v>0</v>
      </c>
      <c r="N147" s="25">
        <v>0</v>
      </c>
      <c r="O147" s="25">
        <v>0</v>
      </c>
      <c r="P147" s="51">
        <v>0</v>
      </c>
      <c r="Q147" s="50">
        <v>0</v>
      </c>
      <c r="R147" s="53">
        <v>0</v>
      </c>
      <c r="S147" s="25">
        <v>0</v>
      </c>
      <c r="T147" s="25">
        <v>0</v>
      </c>
      <c r="U147" s="51">
        <v>0</v>
      </c>
      <c r="V147" s="112"/>
      <c r="W147" s="113"/>
      <c r="Y147" s="29"/>
      <c r="Z147" s="56"/>
      <c r="AA147" s="44" t="str">
        <f t="shared" si="63"/>
        <v>10M Delivery Manager</v>
      </c>
      <c r="AC147" s="44"/>
      <c r="AD147" s="44"/>
    </row>
    <row r="148" spans="1:30" x14ac:dyDescent="0.25">
      <c r="A148" s="44" t="s">
        <v>233</v>
      </c>
      <c r="B148" s="44"/>
      <c r="C148" s="114"/>
      <c r="D148" s="109"/>
      <c r="E148" s="110"/>
      <c r="F148" s="115"/>
      <c r="G148" s="50">
        <v>0</v>
      </c>
      <c r="H148" s="51"/>
      <c r="I148" s="52">
        <f t="shared" si="64"/>
        <v>0</v>
      </c>
      <c r="J148" s="52"/>
      <c r="K148" s="52"/>
      <c r="L148" s="50">
        <v>0</v>
      </c>
      <c r="M148" s="53">
        <v>0</v>
      </c>
      <c r="N148" s="25">
        <v>0</v>
      </c>
      <c r="O148" s="25">
        <v>0</v>
      </c>
      <c r="P148" s="51">
        <v>0</v>
      </c>
      <c r="Q148" s="50">
        <v>20</v>
      </c>
      <c r="R148" s="53">
        <v>0</v>
      </c>
      <c r="S148" s="25">
        <v>0</v>
      </c>
      <c r="T148" s="25">
        <v>0</v>
      </c>
      <c r="U148" s="51">
        <v>0</v>
      </c>
      <c r="V148" s="112"/>
      <c r="W148" s="113"/>
      <c r="Y148" s="29"/>
      <c r="Z148" s="56"/>
      <c r="AA148" s="44" t="str">
        <f t="shared" si="63"/>
        <v>10M Cloud Business Analyst</v>
      </c>
      <c r="AC148" s="44"/>
      <c r="AD148" s="44"/>
    </row>
    <row r="149" spans="1:30" x14ac:dyDescent="0.25">
      <c r="A149" s="44"/>
      <c r="B149" s="44"/>
      <c r="C149" s="114"/>
      <c r="D149" s="109"/>
      <c r="E149" s="110"/>
      <c r="F149" s="115"/>
      <c r="G149" s="50">
        <v>0</v>
      </c>
      <c r="H149" s="51"/>
      <c r="I149" s="52">
        <f t="shared" si="64"/>
        <v>0</v>
      </c>
      <c r="J149" s="52"/>
      <c r="K149" s="52"/>
      <c r="L149" s="50">
        <v>0</v>
      </c>
      <c r="M149" s="53">
        <v>0</v>
      </c>
      <c r="N149" s="25">
        <v>0</v>
      </c>
      <c r="O149" s="25">
        <v>0</v>
      </c>
      <c r="P149" s="51">
        <v>0</v>
      </c>
      <c r="Q149" s="50">
        <v>0</v>
      </c>
      <c r="R149" s="53">
        <v>0</v>
      </c>
      <c r="S149" s="25">
        <v>0</v>
      </c>
      <c r="T149" s="25">
        <v>0</v>
      </c>
      <c r="U149" s="51">
        <v>0</v>
      </c>
      <c r="V149" s="112"/>
      <c r="W149" s="113"/>
      <c r="Y149" s="29"/>
      <c r="Z149" s="56"/>
      <c r="AA149" s="44">
        <f t="shared" si="63"/>
        <v>0</v>
      </c>
      <c r="AC149" s="44"/>
      <c r="AD149" s="44"/>
    </row>
    <row r="150" spans="1:30" ht="15.75" thickBot="1" x14ac:dyDescent="0.3">
      <c r="A150" s="75" t="s">
        <v>234</v>
      </c>
      <c r="C150" s="116"/>
      <c r="D150" s="117"/>
      <c r="F150" s="116"/>
      <c r="G150" s="118">
        <f>SUM(G39:G149)</f>
        <v>2384</v>
      </c>
      <c r="H150" s="62">
        <f>SUM(H39:H149)</f>
        <v>2194.25</v>
      </c>
      <c r="I150" s="119">
        <f>SUM(I39:I149)</f>
        <v>-189.75</v>
      </c>
      <c r="J150" s="62"/>
      <c r="K150" s="62"/>
      <c r="L150" s="120">
        <f t="shared" ref="L150:U150" si="65">SUM(L39:L149)</f>
        <v>2452.83</v>
      </c>
      <c r="M150" s="121">
        <f t="shared" si="65"/>
        <v>0</v>
      </c>
      <c r="N150" s="121">
        <f t="shared" si="65"/>
        <v>0</v>
      </c>
      <c r="O150" s="121">
        <f t="shared" si="65"/>
        <v>0</v>
      </c>
      <c r="P150" s="63">
        <f t="shared" si="65"/>
        <v>122.4</v>
      </c>
      <c r="Q150" s="120">
        <f t="shared" si="65"/>
        <v>2597.0100000000002</v>
      </c>
      <c r="R150" s="121">
        <f t="shared" si="65"/>
        <v>20</v>
      </c>
      <c r="S150" s="121">
        <f t="shared" si="65"/>
        <v>0</v>
      </c>
      <c r="T150" s="121">
        <f t="shared" si="65"/>
        <v>0</v>
      </c>
      <c r="U150" s="63">
        <f t="shared" si="65"/>
        <v>34.4</v>
      </c>
      <c r="V150" s="112"/>
      <c r="W150" s="113"/>
      <c r="Y150" s="62">
        <f>SUM(Y39:Y134)</f>
        <v>3399.65</v>
      </c>
      <c r="AA150" s="44"/>
      <c r="AC150" s="57"/>
      <c r="AD150" s="57"/>
    </row>
    <row r="151" spans="1:30" ht="7.5" customHeight="1" thickTop="1" x14ac:dyDescent="0.25">
      <c r="C151" s="116"/>
      <c r="D151" s="117"/>
      <c r="F151" s="116"/>
      <c r="G151" s="122"/>
      <c r="I151" s="123"/>
      <c r="M151" s="78"/>
      <c r="N151" s="78"/>
      <c r="O151" s="78"/>
      <c r="P151" s="123"/>
      <c r="R151" s="78"/>
      <c r="S151" s="78"/>
      <c r="T151" s="78"/>
      <c r="U151" s="123"/>
      <c r="V151" s="112"/>
      <c r="W151" s="113"/>
      <c r="AA151" s="44"/>
      <c r="AC151" s="44"/>
      <c r="AD151" s="44"/>
    </row>
    <row r="152" spans="1:30" x14ac:dyDescent="0.25">
      <c r="A152" s="124" t="s">
        <v>235</v>
      </c>
      <c r="C152" s="116"/>
      <c r="D152" s="125"/>
      <c r="E152" s="126"/>
      <c r="F152" s="127"/>
      <c r="G152" s="128">
        <v>3320</v>
      </c>
      <c r="H152" s="29">
        <v>3320</v>
      </c>
      <c r="I152" s="129"/>
      <c r="J152" s="130"/>
      <c r="K152" s="130"/>
      <c r="L152" s="29">
        <v>3320</v>
      </c>
      <c r="M152" s="131">
        <f>L152</f>
        <v>3320</v>
      </c>
      <c r="N152" s="132"/>
      <c r="O152" s="132"/>
      <c r="P152" s="133">
        <f>L152</f>
        <v>3320</v>
      </c>
      <c r="Q152" s="29">
        <v>3280</v>
      </c>
      <c r="R152" s="131">
        <f>Q152</f>
        <v>3280</v>
      </c>
      <c r="S152" s="132"/>
      <c r="T152" s="132"/>
      <c r="U152" s="51">
        <f>Q152</f>
        <v>3280</v>
      </c>
      <c r="V152" s="112"/>
      <c r="W152" s="113"/>
      <c r="Y152" s="56"/>
      <c r="AA152" s="44"/>
      <c r="AC152" s="44"/>
      <c r="AD152" s="44"/>
    </row>
    <row r="153" spans="1:30" x14ac:dyDescent="0.25">
      <c r="A153" s="124" t="s">
        <v>236</v>
      </c>
      <c r="B153" s="134"/>
      <c r="C153" s="135"/>
      <c r="D153" s="117"/>
      <c r="F153" s="116"/>
      <c r="G153" s="72">
        <f>G7/G152</f>
        <v>0.68283132530120483</v>
      </c>
      <c r="H153" s="65">
        <f>H7/H152</f>
        <v>0.62793674698795177</v>
      </c>
      <c r="I153" s="73"/>
      <c r="J153" s="136"/>
      <c r="K153" s="136"/>
      <c r="L153" s="65">
        <f>L7/L152</f>
        <v>0.6866957831325301</v>
      </c>
      <c r="M153" s="131">
        <f>M7/M152</f>
        <v>0</v>
      </c>
      <c r="N153" s="78"/>
      <c r="O153" s="78"/>
      <c r="P153" s="55">
        <f>P7/P152</f>
        <v>3.6867469879518076E-2</v>
      </c>
      <c r="Q153" s="65">
        <f>Q7/Q152</f>
        <v>0.73902743902439028</v>
      </c>
      <c r="R153" s="131">
        <f>R7/R152</f>
        <v>6.0975609756097563E-3</v>
      </c>
      <c r="S153" s="78"/>
      <c r="T153" s="78"/>
      <c r="U153" s="48">
        <f>U7/U152</f>
        <v>1.0487804878048779E-2</v>
      </c>
      <c r="V153" s="112"/>
      <c r="W153" s="113"/>
      <c r="Y153" s="56"/>
      <c r="AA153" s="44"/>
      <c r="AC153" s="44"/>
      <c r="AD153" s="44"/>
    </row>
    <row r="154" spans="1:30" ht="15.75" thickBot="1" x14ac:dyDescent="0.3">
      <c r="A154" s="137" t="s">
        <v>237</v>
      </c>
      <c r="B154" s="138"/>
      <c r="C154" s="138"/>
      <c r="D154" s="139"/>
      <c r="E154" s="138"/>
      <c r="F154" s="140"/>
      <c r="G154" s="141"/>
      <c r="H154" s="142"/>
      <c r="I154" s="143"/>
      <c r="J154" s="142"/>
      <c r="K154" s="142"/>
      <c r="L154" s="144">
        <f>SUM(L7:M7)/((L152-P7))</f>
        <v>0.71298161120840631</v>
      </c>
      <c r="M154" s="145"/>
      <c r="N154" s="146"/>
      <c r="O154" s="146"/>
      <c r="P154" s="143"/>
      <c r="Q154" s="144">
        <f>SUM(Q7:R7)/((Q152-U7))</f>
        <v>0.75302255361104276</v>
      </c>
      <c r="R154" s="145"/>
      <c r="S154" s="146"/>
      <c r="T154" s="146"/>
      <c r="U154" s="147"/>
      <c r="V154" s="148"/>
      <c r="W154" s="149"/>
      <c r="Y154" s="56"/>
      <c r="AA154" s="44"/>
      <c r="AC154" s="44"/>
      <c r="AD154" s="44"/>
    </row>
    <row r="155" spans="1:30" ht="15.75" thickTop="1" x14ac:dyDescent="0.25"/>
  </sheetData>
  <mergeCells count="25">
    <mergeCell ref="Y3:Y5"/>
    <mergeCell ref="S4:U4"/>
    <mergeCell ref="V4:V5"/>
    <mergeCell ref="W4:W5"/>
    <mergeCell ref="D1:F1"/>
    <mergeCell ref="G1:U1"/>
    <mergeCell ref="V1:W1"/>
    <mergeCell ref="D2:F2"/>
    <mergeCell ref="G2:I2"/>
    <mergeCell ref="L2:U2"/>
    <mergeCell ref="V2:W2"/>
    <mergeCell ref="F4:F5"/>
    <mergeCell ref="L4:M4"/>
    <mergeCell ref="N4:P4"/>
    <mergeCell ref="Q4:R4"/>
    <mergeCell ref="G3:G5"/>
    <mergeCell ref="H3:H5"/>
    <mergeCell ref="I3:I5"/>
    <mergeCell ref="L3:P3"/>
    <mergeCell ref="Q3:U3"/>
    <mergeCell ref="A9:C9"/>
    <mergeCell ref="A37:C37"/>
    <mergeCell ref="A131:C131"/>
    <mergeCell ref="D4:D5"/>
    <mergeCell ref="E4:E5"/>
  </mergeCells>
  <conditionalFormatting sqref="Y133">
    <cfRule type="cellIs" dxfId="1072" priority="439" operator="lessThan">
      <formula>40</formula>
    </cfRule>
    <cfRule type="cellIs" dxfId="1071" priority="440" operator="lessThan">
      <formula>40</formula>
    </cfRule>
  </conditionalFormatting>
  <conditionalFormatting sqref="V106:W106 W47 W53 W55:W58 W118:W119 W40:W43 W71 W79 W129:W130 W73:W74 W124 V62:W62 W126 W60:W61 W65:W69 V63:V69 W77 V100:V105 W101 V95 V107:V109">
    <cfRule type="cellIs" dxfId="1070" priority="1072" operator="greaterThan">
      <formula>$D40</formula>
    </cfRule>
    <cfRule type="cellIs" dxfId="1069" priority="1073" operator="lessThan">
      <formula>$D40</formula>
    </cfRule>
  </conditionalFormatting>
  <conditionalFormatting sqref="F6:F8 I7:K8 F11 I11:K11 F16 I16:K16 I35:K36 F35:F36 F18:F19 I19:K19 I21:K21 F21">
    <cfRule type="cellIs" dxfId="1068" priority="1068" operator="lessThan">
      <formula>0</formula>
    </cfRule>
    <cfRule type="cellIs" dxfId="1067" priority="1069" operator="lessThan">
      <formula>0</formula>
    </cfRule>
    <cfRule type="cellIs" dxfId="1066" priority="1070" operator="greaterThan">
      <formula>0</formula>
    </cfRule>
    <cfRule type="cellIs" dxfId="1065" priority="1071" operator="greaterThan">
      <formula>0</formula>
    </cfRule>
  </conditionalFormatting>
  <conditionalFormatting sqref="F58 F62 F106 F86 F131 F124 F126 F18:F19 F21">
    <cfRule type="cellIs" dxfId="1064" priority="1066" operator="greaterThan">
      <formula>0</formula>
    </cfRule>
    <cfRule type="cellIs" dxfId="1063" priority="1067" operator="lessThan">
      <formula>0</formula>
    </cfRule>
  </conditionalFormatting>
  <conditionalFormatting sqref="I55:K55 I58:K58 I42:K42 I62:K62 I106:K106 I47:K47 I86:K86 I131:K131 I126:K126 I19:K19 I21:K21 I138:K138 I140:K140">
    <cfRule type="cellIs" dxfId="1062" priority="1064" operator="lessThan">
      <formula>0</formula>
    </cfRule>
    <cfRule type="cellIs" dxfId="1061" priority="1065" operator="greaterThan">
      <formula>0</formula>
    </cfRule>
  </conditionalFormatting>
  <conditionalFormatting sqref="I150:K150">
    <cfRule type="cellIs" dxfId="1060" priority="1062" operator="lessThan">
      <formula>0</formula>
    </cfRule>
    <cfRule type="cellIs" dxfId="1059" priority="1063" operator="greaterThan">
      <formula>0</formula>
    </cfRule>
  </conditionalFormatting>
  <conditionalFormatting sqref="I6:K6">
    <cfRule type="cellIs" dxfId="1058" priority="1058" operator="lessThan">
      <formula>0</formula>
    </cfRule>
    <cfRule type="cellIs" dxfId="1057" priority="1059" operator="lessThan">
      <formula>0</formula>
    </cfRule>
    <cfRule type="cellIs" dxfId="1056" priority="1060" operator="greaterThan">
      <formula>0</formula>
    </cfRule>
    <cfRule type="cellIs" dxfId="1055" priority="1061" operator="greaterThan">
      <formula>0</formula>
    </cfRule>
  </conditionalFormatting>
  <conditionalFormatting sqref="F47">
    <cfRule type="cellIs" dxfId="1054" priority="1056" operator="greaterThan">
      <formula>0</formula>
    </cfRule>
    <cfRule type="cellIs" dxfId="1053" priority="1057" operator="lessThan">
      <formula>0</formula>
    </cfRule>
  </conditionalFormatting>
  <conditionalFormatting sqref="Y130 Y47 Y55:Y58 Y65:Y69 Y40:Y43 Y79 Y124 Y60:Y61 Y126">
    <cfRule type="cellIs" dxfId="1052" priority="1054" operator="lessThan">
      <formula>40</formula>
    </cfRule>
    <cfRule type="cellIs" dxfId="1051" priority="1055" operator="lessThan">
      <formula>40</formula>
    </cfRule>
  </conditionalFormatting>
  <conditionalFormatting sqref="F42">
    <cfRule type="cellIs" dxfId="1050" priority="1052" operator="greaterThan">
      <formula>0</formula>
    </cfRule>
    <cfRule type="cellIs" dxfId="1049" priority="1053" operator="lessThan">
      <formula>0</formula>
    </cfRule>
  </conditionalFormatting>
  <conditionalFormatting sqref="F55">
    <cfRule type="cellIs" dxfId="1048" priority="1050" operator="greaterThan">
      <formula>0</formula>
    </cfRule>
    <cfRule type="cellIs" dxfId="1047" priority="1051" operator="lessThan">
      <formula>0</formula>
    </cfRule>
  </conditionalFormatting>
  <conditionalFormatting sqref="M6:M7 M154 M11 M38 M16 R16 M47 R47 M55:M58 R55:R58 R35:R36 M35:M36 M40:M43 R40:R43 M130:M131 R130:R131 R86:R88 M86:M88 R73:R74 M73:M74 R134:R135 M134:M135 M124 R124 R60:R63 M60:M63 R126:R127 M126:M127 M18:M19 R18:R19 R21 M21 M65:M71 R65:R71 M77:M79 R77:R79 R138 M138 M140:M152 R140:R149">
    <cfRule type="cellIs" dxfId="1046" priority="1049" operator="greaterThan">
      <formula>0</formula>
    </cfRule>
  </conditionalFormatting>
  <conditionalFormatting sqref="N6:N7 N11 N38 N16 S16 N47 S47 N55:N58 S55:S58 S35:S36 N35:N36 N40:N43 S40:S43 N130:N131 S130:S131 S86:S88 N86:N88 S73:S74 N73:N74 S134:S135 N134:N135 N124 S124 S60:S63 N60:N63 S126:S127 N126:N127 N18:N19 S18:S19 S21 N21 N65:N71 S65:S71 N77:N79 S77:S79 S138 N138 N140:N154 S140:S149">
    <cfRule type="cellIs" dxfId="1045" priority="1048" operator="greaterThan">
      <formula>0</formula>
    </cfRule>
  </conditionalFormatting>
  <conditionalFormatting sqref="O6:O7 O11 O38 O16 T16 O47 T47 O55:O58 T55:T58 T35:T36 O35:O36 O40:O43 T40:T43 O130:O131 T130:T131 T86:T88 O86:O88 T73:T74 O73:O74 T134:T135 O134:O135 O124 T124 T60:T63 O60:O63 T126:T127 O126:O127 O18:O19 T18:T19 T21 O21 O65:O71 T65:T71 O77:O79 T77:T79 T138 O138 O140:O150 T140:T149">
    <cfRule type="cellIs" dxfId="1044" priority="1047" operator="greaterThan">
      <formula>0</formula>
    </cfRule>
  </conditionalFormatting>
  <conditionalFormatting sqref="I11:K11">
    <cfRule type="cellIs" dxfId="1043" priority="1045" operator="lessThan">
      <formula>0</formula>
    </cfRule>
    <cfRule type="cellIs" dxfId="1042" priority="1046" operator="greaterThan">
      <formula>0</formula>
    </cfRule>
  </conditionalFormatting>
  <conditionalFormatting sqref="F11">
    <cfRule type="cellIs" dxfId="1041" priority="1043" operator="greaterThan">
      <formula>0</formula>
    </cfRule>
    <cfRule type="cellIs" dxfId="1040" priority="1044" operator="lessThan">
      <formula>0</formula>
    </cfRule>
  </conditionalFormatting>
  <conditionalFormatting sqref="M11">
    <cfRule type="cellIs" dxfId="1039" priority="1042" operator="greaterThan">
      <formula>0</formula>
    </cfRule>
  </conditionalFormatting>
  <conditionalFormatting sqref="N11">
    <cfRule type="cellIs" dxfId="1038" priority="1041" operator="greaterThan">
      <formula>0</formula>
    </cfRule>
  </conditionalFormatting>
  <conditionalFormatting sqref="O11">
    <cfRule type="cellIs" dxfId="1037" priority="1040" operator="greaterThan">
      <formula>0</formula>
    </cfRule>
  </conditionalFormatting>
  <conditionalFormatting sqref="F16">
    <cfRule type="cellIs" dxfId="1036" priority="1038" operator="greaterThan">
      <formula>0</formula>
    </cfRule>
    <cfRule type="cellIs" dxfId="1035" priority="1039" operator="lessThan">
      <formula>0</formula>
    </cfRule>
  </conditionalFormatting>
  <conditionalFormatting sqref="I16:K16">
    <cfRule type="cellIs" dxfId="1034" priority="1036" operator="lessThan">
      <formula>0</formula>
    </cfRule>
    <cfRule type="cellIs" dxfId="1033" priority="1037" operator="greaterThan">
      <formula>0</formula>
    </cfRule>
  </conditionalFormatting>
  <conditionalFormatting sqref="M16">
    <cfRule type="cellIs" dxfId="1032" priority="1035" operator="greaterThan">
      <formula>0</formula>
    </cfRule>
  </conditionalFormatting>
  <conditionalFormatting sqref="N16">
    <cfRule type="cellIs" dxfId="1031" priority="1034" operator="greaterThan">
      <formula>0</formula>
    </cfRule>
  </conditionalFormatting>
  <conditionalFormatting sqref="O16">
    <cfRule type="cellIs" dxfId="1030" priority="1033" operator="greaterThan">
      <formula>0</formula>
    </cfRule>
  </conditionalFormatting>
  <conditionalFormatting sqref="M35">
    <cfRule type="cellIs" dxfId="1029" priority="1032" operator="greaterThan">
      <formula>0</formula>
    </cfRule>
  </conditionalFormatting>
  <conditionalFormatting sqref="N35">
    <cfRule type="cellIs" dxfId="1028" priority="1031" operator="greaterThan">
      <formula>0</formula>
    </cfRule>
  </conditionalFormatting>
  <conditionalFormatting sqref="O35">
    <cfRule type="cellIs" dxfId="1027" priority="1030" operator="greaterThan">
      <formula>0</formula>
    </cfRule>
  </conditionalFormatting>
  <conditionalFormatting sqref="I35:K35">
    <cfRule type="cellIs" dxfId="1026" priority="1028" operator="lessThan">
      <formula>0</formula>
    </cfRule>
    <cfRule type="cellIs" dxfId="1025" priority="1029" operator="greaterThan">
      <formula>0</formula>
    </cfRule>
  </conditionalFormatting>
  <conditionalFormatting sqref="F35">
    <cfRule type="cellIs" dxfId="1024" priority="1026" operator="greaterThan">
      <formula>0</formula>
    </cfRule>
    <cfRule type="cellIs" dxfId="1023" priority="1027" operator="lessThan">
      <formula>0</formula>
    </cfRule>
  </conditionalFormatting>
  <conditionalFormatting sqref="M37">
    <cfRule type="cellIs" dxfId="1022" priority="1025" operator="greaterThan">
      <formula>0</formula>
    </cfRule>
  </conditionalFormatting>
  <conditionalFormatting sqref="N37">
    <cfRule type="cellIs" dxfId="1021" priority="1024" operator="greaterThan">
      <formula>0</formula>
    </cfRule>
  </conditionalFormatting>
  <conditionalFormatting sqref="O37">
    <cfRule type="cellIs" dxfId="1020" priority="1023" operator="greaterThan">
      <formula>0</formula>
    </cfRule>
  </conditionalFormatting>
  <conditionalFormatting sqref="F17">
    <cfRule type="cellIs" dxfId="1019" priority="1019" operator="lessThan">
      <formula>0</formula>
    </cfRule>
    <cfRule type="cellIs" dxfId="1018" priority="1020" operator="lessThan">
      <formula>0</formula>
    </cfRule>
    <cfRule type="cellIs" dxfId="1017" priority="1021" operator="greaterThan">
      <formula>0</formula>
    </cfRule>
    <cfRule type="cellIs" dxfId="1016" priority="1022" operator="greaterThan">
      <formula>0</formula>
    </cfRule>
  </conditionalFormatting>
  <conditionalFormatting sqref="F17">
    <cfRule type="cellIs" dxfId="1015" priority="1017" operator="greaterThan">
      <formula>0</formula>
    </cfRule>
    <cfRule type="cellIs" dxfId="1014" priority="1018" operator="lessThan">
      <formula>0</formula>
    </cfRule>
  </conditionalFormatting>
  <conditionalFormatting sqref="L153">
    <cfRule type="cellIs" dxfId="1013" priority="1016" operator="greaterThan">
      <formula>0</formula>
    </cfRule>
  </conditionalFormatting>
  <conditionalFormatting sqref="Q153">
    <cfRule type="cellIs" dxfId="1012" priority="999" operator="greaterThan">
      <formula>0</formula>
    </cfRule>
  </conditionalFormatting>
  <conditionalFormatting sqref="R153">
    <cfRule type="cellIs" dxfId="1011" priority="997" operator="greaterThan">
      <formula>0</formula>
    </cfRule>
    <cfRule type="cellIs" dxfId="1010" priority="998" operator="greaterThan">
      <formula>0</formula>
    </cfRule>
  </conditionalFormatting>
  <conditionalFormatting sqref="P6:P7 P11 P16 U16 P47 U47 P55:P58 U55:U58 U35 P35 P40:P43 U40:U43 P130:P131 U130:U131 U86:U88 P86:P88 U73:U74 P73:P74 U134:U135 P134:P135 P124 U124 U60:U63 P60:P63 U126:U127 P126:P127 P18:P19 U18:U19 U21 P21 P65:P71 U65:U71 P77:P79 U77:U79 U138 P138 P140:P150 U140:U149">
    <cfRule type="cellIs" dxfId="1009" priority="1015" operator="greaterThan">
      <formula>0</formula>
    </cfRule>
  </conditionalFormatting>
  <conditionalFormatting sqref="R150:R152 R6:R7 R38 R154 R11">
    <cfRule type="cellIs" dxfId="1008" priority="1014" operator="greaterThan">
      <formula>0</formula>
    </cfRule>
  </conditionalFormatting>
  <conditionalFormatting sqref="S150:S154 S6:S7 S38 S11">
    <cfRule type="cellIs" dxfId="1007" priority="1013" operator="greaterThan">
      <formula>0</formula>
    </cfRule>
  </conditionalFormatting>
  <conditionalFormatting sqref="T150 T6:T7 T38 T11">
    <cfRule type="cellIs" dxfId="1006" priority="1012" operator="greaterThan">
      <formula>0</formula>
    </cfRule>
  </conditionalFormatting>
  <conditionalFormatting sqref="R11">
    <cfRule type="cellIs" dxfId="1005" priority="1011" operator="greaterThan">
      <formula>0</formula>
    </cfRule>
  </conditionalFormatting>
  <conditionalFormatting sqref="S11">
    <cfRule type="cellIs" dxfId="1004" priority="1010" operator="greaterThan">
      <formula>0</formula>
    </cfRule>
  </conditionalFormatting>
  <conditionalFormatting sqref="T11">
    <cfRule type="cellIs" dxfId="1003" priority="1009" operator="greaterThan">
      <formula>0</formula>
    </cfRule>
  </conditionalFormatting>
  <conditionalFormatting sqref="R16">
    <cfRule type="cellIs" dxfId="1002" priority="1008" operator="greaterThan">
      <formula>0</formula>
    </cfRule>
  </conditionalFormatting>
  <conditionalFormatting sqref="S16">
    <cfRule type="cellIs" dxfId="1001" priority="1007" operator="greaterThan">
      <formula>0</formula>
    </cfRule>
  </conditionalFormatting>
  <conditionalFormatting sqref="T16">
    <cfRule type="cellIs" dxfId="1000" priority="1006" operator="greaterThan">
      <formula>0</formula>
    </cfRule>
  </conditionalFormatting>
  <conditionalFormatting sqref="R35">
    <cfRule type="cellIs" dxfId="999" priority="1005" operator="greaterThan">
      <formula>0</formula>
    </cfRule>
  </conditionalFormatting>
  <conditionalFormatting sqref="S35">
    <cfRule type="cellIs" dxfId="998" priority="1004" operator="greaterThan">
      <formula>0</formula>
    </cfRule>
  </conditionalFormatting>
  <conditionalFormatting sqref="T35">
    <cfRule type="cellIs" dxfId="997" priority="1003" operator="greaterThan">
      <formula>0</formula>
    </cfRule>
  </conditionalFormatting>
  <conditionalFormatting sqref="R37">
    <cfRule type="cellIs" dxfId="996" priority="1002" operator="greaterThan">
      <formula>0</formula>
    </cfRule>
  </conditionalFormatting>
  <conditionalFormatting sqref="S37">
    <cfRule type="cellIs" dxfId="995" priority="1001" operator="greaterThan">
      <formula>0</formula>
    </cfRule>
  </conditionalFormatting>
  <conditionalFormatting sqref="T37">
    <cfRule type="cellIs" dxfId="994" priority="1000" operator="greaterThan">
      <formula>0</formula>
    </cfRule>
  </conditionalFormatting>
  <conditionalFormatting sqref="U6:U7 U150 U11">
    <cfRule type="cellIs" dxfId="993" priority="996" operator="greaterThan">
      <formula>0</formula>
    </cfRule>
  </conditionalFormatting>
  <conditionalFormatting sqref="L6:L7 L16 L35 L150">
    <cfRule type="cellIs" dxfId="992" priority="995" operator="greaterThan">
      <formula>0</formula>
    </cfRule>
  </conditionalFormatting>
  <conditionalFormatting sqref="Q6:Q7 Q16 Q35 Q150">
    <cfRule type="cellIs" dxfId="991" priority="994" operator="greaterThan">
      <formula>0</formula>
    </cfRule>
  </conditionalFormatting>
  <conditionalFormatting sqref="U152:U154">
    <cfRule type="cellIs" dxfId="990" priority="993" operator="greaterThan">
      <formula>0</formula>
    </cfRule>
  </conditionalFormatting>
  <conditionalFormatting sqref="P153">
    <cfRule type="cellIs" dxfId="989" priority="992" operator="greaterThan">
      <formula>0</formula>
    </cfRule>
  </conditionalFormatting>
  <conditionalFormatting sqref="P152">
    <cfRule type="cellIs" dxfId="988" priority="991" operator="greaterThan">
      <formula>0</formula>
    </cfRule>
  </conditionalFormatting>
  <conditionalFormatting sqref="I60:K60">
    <cfRule type="cellIs" dxfId="987" priority="989" operator="lessThan">
      <formula>0</formula>
    </cfRule>
    <cfRule type="cellIs" dxfId="986" priority="990" operator="greaterThan">
      <formula>0</formula>
    </cfRule>
  </conditionalFormatting>
  <conditionalFormatting sqref="F60">
    <cfRule type="cellIs" dxfId="985" priority="987" operator="greaterThan">
      <formula>0</formula>
    </cfRule>
    <cfRule type="cellIs" dxfId="984" priority="988" operator="lessThan">
      <formula>0</formula>
    </cfRule>
  </conditionalFormatting>
  <conditionalFormatting sqref="I142:K142 I145:K145">
    <cfRule type="cellIs" dxfId="983" priority="985" operator="lessThan">
      <formula>0</formula>
    </cfRule>
    <cfRule type="cellIs" dxfId="982" priority="986" operator="greaterThan">
      <formula>0</formula>
    </cfRule>
  </conditionalFormatting>
  <conditionalFormatting sqref="I149:K149">
    <cfRule type="cellIs" dxfId="981" priority="983" operator="lessThan">
      <formula>0</formula>
    </cfRule>
    <cfRule type="cellIs" dxfId="980" priority="984" operator="greaterThan">
      <formula>0</formula>
    </cfRule>
  </conditionalFormatting>
  <conditionalFormatting sqref="I144:K144">
    <cfRule type="cellIs" dxfId="979" priority="981" operator="lessThan">
      <formula>0</formula>
    </cfRule>
    <cfRule type="cellIs" dxfId="978" priority="982" operator="greaterThan">
      <formula>0</formula>
    </cfRule>
  </conditionalFormatting>
  <conditionalFormatting sqref="I146:K148">
    <cfRule type="cellIs" dxfId="977" priority="979" operator="lessThan">
      <formula>0</formula>
    </cfRule>
    <cfRule type="cellIs" dxfId="976" priority="980" operator="greaterThan">
      <formula>0</formula>
    </cfRule>
  </conditionalFormatting>
  <conditionalFormatting sqref="F56">
    <cfRule type="cellIs" dxfId="975" priority="977" operator="greaterThan">
      <formula>0</formula>
    </cfRule>
    <cfRule type="cellIs" dxfId="974" priority="978" operator="lessThan">
      <formula>0</formula>
    </cfRule>
  </conditionalFormatting>
  <conditionalFormatting sqref="I56:K56">
    <cfRule type="cellIs" dxfId="973" priority="975" operator="lessThan">
      <formula>0</formula>
    </cfRule>
    <cfRule type="cellIs" dxfId="972" priority="976" operator="greaterThan">
      <formula>0</formula>
    </cfRule>
  </conditionalFormatting>
  <conditionalFormatting sqref="F63">
    <cfRule type="cellIs" dxfId="971" priority="973" operator="greaterThan">
      <formula>0</formula>
    </cfRule>
    <cfRule type="cellIs" dxfId="970" priority="974" operator="lessThan">
      <formula>0</formula>
    </cfRule>
  </conditionalFormatting>
  <conditionalFormatting sqref="I63:K63">
    <cfRule type="cellIs" dxfId="969" priority="971" operator="lessThan">
      <formula>0</formula>
    </cfRule>
    <cfRule type="cellIs" dxfId="968" priority="972" operator="greaterThan">
      <formula>0</formula>
    </cfRule>
  </conditionalFormatting>
  <conditionalFormatting sqref="F70 F78">
    <cfRule type="cellIs" dxfId="967" priority="969" operator="greaterThan">
      <formula>0</formula>
    </cfRule>
    <cfRule type="cellIs" dxfId="966" priority="970" operator="lessThan">
      <formula>0</formula>
    </cfRule>
  </conditionalFormatting>
  <conditionalFormatting sqref="I70:K70 I78:K78">
    <cfRule type="cellIs" dxfId="965" priority="967" operator="lessThan">
      <formula>0</formula>
    </cfRule>
    <cfRule type="cellIs" dxfId="964" priority="968" operator="greaterThan">
      <formula>0</formula>
    </cfRule>
  </conditionalFormatting>
  <conditionalFormatting sqref="F66">
    <cfRule type="cellIs" dxfId="963" priority="965" operator="greaterThan">
      <formula>0</formula>
    </cfRule>
    <cfRule type="cellIs" dxfId="962" priority="966" operator="lessThan">
      <formula>0</formula>
    </cfRule>
  </conditionalFormatting>
  <conditionalFormatting sqref="I66:K66">
    <cfRule type="cellIs" dxfId="961" priority="963" operator="lessThan">
      <formula>0</formula>
    </cfRule>
    <cfRule type="cellIs" dxfId="960" priority="964" operator="greaterThan">
      <formula>0</formula>
    </cfRule>
  </conditionalFormatting>
  <conditionalFormatting sqref="F67">
    <cfRule type="cellIs" dxfId="959" priority="961" operator="greaterThan">
      <formula>0</formula>
    </cfRule>
    <cfRule type="cellIs" dxfId="958" priority="962" operator="lessThan">
      <formula>0</formula>
    </cfRule>
  </conditionalFormatting>
  <conditionalFormatting sqref="I67:K67">
    <cfRule type="cellIs" dxfId="957" priority="959" operator="lessThan">
      <formula>0</formula>
    </cfRule>
    <cfRule type="cellIs" dxfId="956" priority="960" operator="greaterThan">
      <formula>0</formula>
    </cfRule>
  </conditionalFormatting>
  <conditionalFormatting sqref="V70:W70 V78:W78">
    <cfRule type="cellIs" dxfId="955" priority="957" operator="greaterThan">
      <formula>$D70</formula>
    </cfRule>
    <cfRule type="cellIs" dxfId="954" priority="958" operator="lessThan">
      <formula>$D70</formula>
    </cfRule>
  </conditionalFormatting>
  <conditionalFormatting sqref="I118:K118">
    <cfRule type="cellIs" dxfId="953" priority="955" operator="lessThan">
      <formula>0</formula>
    </cfRule>
    <cfRule type="cellIs" dxfId="952" priority="956" operator="greaterThan">
      <formula>0</formula>
    </cfRule>
  </conditionalFormatting>
  <conditionalFormatting sqref="F118">
    <cfRule type="cellIs" dxfId="951" priority="953" operator="greaterThan">
      <formula>0</formula>
    </cfRule>
    <cfRule type="cellIs" dxfId="950" priority="954" operator="lessThan">
      <formula>0</formula>
    </cfRule>
  </conditionalFormatting>
  <conditionalFormatting sqref="F65">
    <cfRule type="cellIs" dxfId="949" priority="951" operator="greaterThan">
      <formula>0</formula>
    </cfRule>
    <cfRule type="cellIs" dxfId="948" priority="952" operator="lessThan">
      <formula>0</formula>
    </cfRule>
  </conditionalFormatting>
  <conditionalFormatting sqref="I65:K65">
    <cfRule type="cellIs" dxfId="947" priority="949" operator="lessThan">
      <formula>0</formula>
    </cfRule>
    <cfRule type="cellIs" dxfId="946" priority="950" operator="greaterThan">
      <formula>0</formula>
    </cfRule>
  </conditionalFormatting>
  <conditionalFormatting sqref="F71">
    <cfRule type="cellIs" dxfId="945" priority="947" operator="greaterThan">
      <formula>0</formula>
    </cfRule>
    <cfRule type="cellIs" dxfId="944" priority="948" operator="lessThan">
      <formula>0</formula>
    </cfRule>
  </conditionalFormatting>
  <conditionalFormatting sqref="I71:K71">
    <cfRule type="cellIs" dxfId="943" priority="945" operator="lessThan">
      <formula>0</formula>
    </cfRule>
    <cfRule type="cellIs" dxfId="942" priority="946" operator="greaterThan">
      <formula>0</formula>
    </cfRule>
  </conditionalFormatting>
  <conditionalFormatting sqref="V86:W86">
    <cfRule type="cellIs" dxfId="941" priority="943" operator="greaterThan">
      <formula>$D86</formula>
    </cfRule>
    <cfRule type="cellIs" dxfId="940" priority="944" operator="lessThan">
      <formula>$D86</formula>
    </cfRule>
  </conditionalFormatting>
  <conditionalFormatting sqref="F79">
    <cfRule type="cellIs" dxfId="939" priority="941" operator="greaterThan">
      <formula>0</formula>
    </cfRule>
    <cfRule type="cellIs" dxfId="938" priority="942" operator="lessThan">
      <formula>0</formula>
    </cfRule>
  </conditionalFormatting>
  <conditionalFormatting sqref="I79:K79">
    <cfRule type="cellIs" dxfId="937" priority="939" operator="lessThan">
      <formula>0</formula>
    </cfRule>
    <cfRule type="cellIs" dxfId="936" priority="940" operator="greaterThan">
      <formula>0</formula>
    </cfRule>
  </conditionalFormatting>
  <conditionalFormatting sqref="I87:K87">
    <cfRule type="cellIs" dxfId="935" priority="937" operator="lessThan">
      <formula>0</formula>
    </cfRule>
    <cfRule type="cellIs" dxfId="934" priority="938" operator="greaterThan">
      <formula>0</formula>
    </cfRule>
  </conditionalFormatting>
  <conditionalFormatting sqref="F87">
    <cfRule type="cellIs" dxfId="933" priority="935" operator="greaterThan">
      <formula>0</formula>
    </cfRule>
    <cfRule type="cellIs" dxfId="932" priority="936" operator="lessThan">
      <formula>0</formula>
    </cfRule>
  </conditionalFormatting>
  <conditionalFormatting sqref="V131:W131">
    <cfRule type="cellIs" dxfId="931" priority="933" operator="greaterThan">
      <formula>$D131</formula>
    </cfRule>
    <cfRule type="cellIs" dxfId="930" priority="934" operator="lessThan">
      <formula>$D131</formula>
    </cfRule>
  </conditionalFormatting>
  <conditionalFormatting sqref="F57">
    <cfRule type="cellIs" dxfId="929" priority="931" operator="greaterThan">
      <formula>0</formula>
    </cfRule>
    <cfRule type="cellIs" dxfId="928" priority="932" operator="lessThan">
      <formula>0</formula>
    </cfRule>
  </conditionalFormatting>
  <conditionalFormatting sqref="I57:K57">
    <cfRule type="cellIs" dxfId="927" priority="929" operator="lessThan">
      <formula>0</formula>
    </cfRule>
    <cfRule type="cellIs" dxfId="926" priority="930" operator="greaterThan">
      <formula>0</formula>
    </cfRule>
  </conditionalFormatting>
  <conditionalFormatting sqref="F73">
    <cfRule type="cellIs" dxfId="925" priority="927" operator="greaterThan">
      <formula>0</formula>
    </cfRule>
    <cfRule type="cellIs" dxfId="924" priority="928" operator="lessThan">
      <formula>0</formula>
    </cfRule>
  </conditionalFormatting>
  <conditionalFormatting sqref="I73:K73">
    <cfRule type="cellIs" dxfId="923" priority="925" operator="lessThan">
      <formula>0</formula>
    </cfRule>
    <cfRule type="cellIs" dxfId="922" priority="926" operator="greaterThan">
      <formula>0</formula>
    </cfRule>
  </conditionalFormatting>
  <conditionalFormatting sqref="I41:K41">
    <cfRule type="cellIs" dxfId="921" priority="923" operator="lessThan">
      <formula>0</formula>
    </cfRule>
    <cfRule type="cellIs" dxfId="920" priority="924" operator="greaterThan">
      <formula>0</formula>
    </cfRule>
  </conditionalFormatting>
  <conditionalFormatting sqref="F41">
    <cfRule type="cellIs" dxfId="919" priority="921" operator="greaterThan">
      <formula>0</formula>
    </cfRule>
    <cfRule type="cellIs" dxfId="918" priority="922" operator="lessThan">
      <formula>0</formula>
    </cfRule>
  </conditionalFormatting>
  <conditionalFormatting sqref="I143:K143">
    <cfRule type="cellIs" dxfId="917" priority="919" operator="lessThan">
      <formula>0</formula>
    </cfRule>
    <cfRule type="cellIs" dxfId="916" priority="920" operator="greaterThan">
      <formula>0</formula>
    </cfRule>
  </conditionalFormatting>
  <conditionalFormatting sqref="F74">
    <cfRule type="cellIs" dxfId="915" priority="917" operator="greaterThan">
      <formula>0</formula>
    </cfRule>
    <cfRule type="cellIs" dxfId="914" priority="918" operator="lessThan">
      <formula>0</formula>
    </cfRule>
  </conditionalFormatting>
  <conditionalFormatting sqref="I74:K74">
    <cfRule type="cellIs" dxfId="913" priority="915" operator="lessThan">
      <formula>0</formula>
    </cfRule>
    <cfRule type="cellIs" dxfId="912" priority="916" operator="greaterThan">
      <formula>0</formula>
    </cfRule>
  </conditionalFormatting>
  <conditionalFormatting sqref="F68">
    <cfRule type="cellIs" dxfId="911" priority="913" operator="greaterThan">
      <formula>0</formula>
    </cfRule>
    <cfRule type="cellIs" dxfId="910" priority="914" operator="lessThan">
      <formula>0</formula>
    </cfRule>
  </conditionalFormatting>
  <conditionalFormatting sqref="I68:K68">
    <cfRule type="cellIs" dxfId="909" priority="911" operator="lessThan">
      <formula>0</formula>
    </cfRule>
    <cfRule type="cellIs" dxfId="908" priority="912" operator="greaterThan">
      <formula>0</formula>
    </cfRule>
  </conditionalFormatting>
  <conditionalFormatting sqref="F53">
    <cfRule type="cellIs" dxfId="907" priority="909" operator="greaterThan">
      <formula>0</formula>
    </cfRule>
    <cfRule type="cellIs" dxfId="906" priority="910" operator="lessThan">
      <formula>0</formula>
    </cfRule>
  </conditionalFormatting>
  <conditionalFormatting sqref="I53:K53">
    <cfRule type="cellIs" dxfId="905" priority="907" operator="lessThan">
      <formula>0</formula>
    </cfRule>
    <cfRule type="cellIs" dxfId="904" priority="908" operator="greaterThan">
      <formula>0</formula>
    </cfRule>
  </conditionalFormatting>
  <conditionalFormatting sqref="I124:K124">
    <cfRule type="cellIs" dxfId="903" priority="905" operator="lessThan">
      <formula>0</formula>
    </cfRule>
    <cfRule type="cellIs" dxfId="902" priority="906" operator="greaterThan">
      <formula>0</formula>
    </cfRule>
  </conditionalFormatting>
  <conditionalFormatting sqref="F69">
    <cfRule type="cellIs" dxfId="901" priority="903" operator="greaterThan">
      <formula>0</formula>
    </cfRule>
    <cfRule type="cellIs" dxfId="900" priority="904" operator="lessThan">
      <formula>0</formula>
    </cfRule>
  </conditionalFormatting>
  <conditionalFormatting sqref="I69:K69">
    <cfRule type="cellIs" dxfId="899" priority="901" operator="lessThan">
      <formula>0</formula>
    </cfRule>
    <cfRule type="cellIs" dxfId="898" priority="902" operator="greaterThan">
      <formula>0</formula>
    </cfRule>
  </conditionalFormatting>
  <conditionalFormatting sqref="I135:K135">
    <cfRule type="cellIs" dxfId="897" priority="899" operator="lessThan">
      <formula>0</formula>
    </cfRule>
    <cfRule type="cellIs" dxfId="896" priority="900" operator="greaterThan">
      <formula>0</formula>
    </cfRule>
  </conditionalFormatting>
  <conditionalFormatting sqref="I130:K130">
    <cfRule type="cellIs" dxfId="895" priority="897" operator="lessThan">
      <formula>0</formula>
    </cfRule>
    <cfRule type="cellIs" dxfId="894" priority="898" operator="greaterThan">
      <formula>0</formula>
    </cfRule>
  </conditionalFormatting>
  <conditionalFormatting sqref="F130">
    <cfRule type="cellIs" dxfId="893" priority="895" operator="greaterThan">
      <formula>0</formula>
    </cfRule>
    <cfRule type="cellIs" dxfId="892" priority="896" operator="lessThan">
      <formula>0</formula>
    </cfRule>
  </conditionalFormatting>
  <conditionalFormatting sqref="F77">
    <cfRule type="cellIs" dxfId="891" priority="893" operator="greaterThan">
      <formula>0</formula>
    </cfRule>
    <cfRule type="cellIs" dxfId="890" priority="894" operator="lessThan">
      <formula>0</formula>
    </cfRule>
  </conditionalFormatting>
  <conditionalFormatting sqref="I77:K77">
    <cfRule type="cellIs" dxfId="889" priority="891" operator="lessThan">
      <formula>0</formula>
    </cfRule>
    <cfRule type="cellIs" dxfId="888" priority="892" operator="greaterThan">
      <formula>0</formula>
    </cfRule>
  </conditionalFormatting>
  <conditionalFormatting sqref="F108:F109 F111">
    <cfRule type="cellIs" dxfId="887" priority="889" operator="greaterThan">
      <formula>0</formula>
    </cfRule>
    <cfRule type="cellIs" dxfId="886" priority="890" operator="lessThan">
      <formula>0</formula>
    </cfRule>
  </conditionalFormatting>
  <conditionalFormatting sqref="I108:K109 I111:K111">
    <cfRule type="cellIs" dxfId="885" priority="887" operator="lessThan">
      <formula>0</formula>
    </cfRule>
    <cfRule type="cellIs" dxfId="884" priority="888" operator="greaterThan">
      <formula>0</formula>
    </cfRule>
  </conditionalFormatting>
  <conditionalFormatting sqref="I61:K61">
    <cfRule type="cellIs" dxfId="883" priority="881" operator="lessThan">
      <formula>0</formula>
    </cfRule>
    <cfRule type="cellIs" dxfId="882" priority="882" operator="greaterThan">
      <formula>0</formula>
    </cfRule>
  </conditionalFormatting>
  <conditionalFormatting sqref="F61">
    <cfRule type="cellIs" dxfId="881" priority="879" operator="greaterThan">
      <formula>0</formula>
    </cfRule>
    <cfRule type="cellIs" dxfId="880" priority="880" operator="lessThan">
      <formula>0</formula>
    </cfRule>
  </conditionalFormatting>
  <conditionalFormatting sqref="I88:K88">
    <cfRule type="cellIs" dxfId="879" priority="885" operator="lessThan">
      <formula>0</formula>
    </cfRule>
    <cfRule type="cellIs" dxfId="878" priority="886" operator="greaterThan">
      <formula>0</formula>
    </cfRule>
  </conditionalFormatting>
  <conditionalFormatting sqref="F88">
    <cfRule type="cellIs" dxfId="877" priority="883" operator="greaterThan">
      <formula>0</formula>
    </cfRule>
    <cfRule type="cellIs" dxfId="876" priority="884" operator="lessThan">
      <formula>0</formula>
    </cfRule>
  </conditionalFormatting>
  <conditionalFormatting sqref="F43">
    <cfRule type="cellIs" dxfId="875" priority="877" operator="greaterThan">
      <formula>0</formula>
    </cfRule>
    <cfRule type="cellIs" dxfId="874" priority="878" operator="lessThan">
      <formula>0</formula>
    </cfRule>
  </conditionalFormatting>
  <conditionalFormatting sqref="I43:K43">
    <cfRule type="cellIs" dxfId="873" priority="875" operator="lessThan">
      <formula>0</formula>
    </cfRule>
    <cfRule type="cellIs" dxfId="872" priority="876" operator="greaterThan">
      <formula>0</formula>
    </cfRule>
  </conditionalFormatting>
  <conditionalFormatting sqref="I40:K40">
    <cfRule type="cellIs" dxfId="871" priority="873" operator="lessThan">
      <formula>0</formula>
    </cfRule>
    <cfRule type="cellIs" dxfId="870" priority="874" operator="greaterThan">
      <formula>0</formula>
    </cfRule>
  </conditionalFormatting>
  <conditionalFormatting sqref="F40">
    <cfRule type="cellIs" dxfId="869" priority="871" operator="greaterThan">
      <formula>0</formula>
    </cfRule>
    <cfRule type="cellIs" dxfId="868" priority="872" operator="lessThan">
      <formula>0</formula>
    </cfRule>
  </conditionalFormatting>
  <conditionalFormatting sqref="Y53">
    <cfRule type="cellIs" dxfId="867" priority="869" operator="lessThan">
      <formula>40</formula>
    </cfRule>
    <cfRule type="cellIs" dxfId="866" priority="870" operator="lessThan">
      <formula>40</formula>
    </cfRule>
  </conditionalFormatting>
  <conditionalFormatting sqref="Y63">
    <cfRule type="cellIs" dxfId="865" priority="867" operator="lessThan">
      <formula>40</formula>
    </cfRule>
    <cfRule type="cellIs" dxfId="864" priority="868" operator="lessThan">
      <formula>40</formula>
    </cfRule>
  </conditionalFormatting>
  <conditionalFormatting sqref="Y71 Y73:Y74 Y77">
    <cfRule type="cellIs" dxfId="863" priority="865" operator="lessThan">
      <formula>40</formula>
    </cfRule>
    <cfRule type="cellIs" dxfId="862" priority="866" operator="lessThan">
      <formula>40</formula>
    </cfRule>
  </conditionalFormatting>
  <conditionalFormatting sqref="Y87:Y88">
    <cfRule type="cellIs" dxfId="861" priority="863" operator="lessThan">
      <formula>40</formula>
    </cfRule>
    <cfRule type="cellIs" dxfId="860" priority="864" operator="lessThan">
      <formula>40</formula>
    </cfRule>
  </conditionalFormatting>
  <conditionalFormatting sqref="Y108:Y109 Y111">
    <cfRule type="cellIs" dxfId="859" priority="861" operator="lessThan">
      <formula>40</formula>
    </cfRule>
    <cfRule type="cellIs" dxfId="858" priority="862" operator="lessThan">
      <formula>40</formula>
    </cfRule>
  </conditionalFormatting>
  <conditionalFormatting sqref="Y118">
    <cfRule type="cellIs" dxfId="857" priority="859" operator="lessThan">
      <formula>40</formula>
    </cfRule>
    <cfRule type="cellIs" dxfId="856" priority="860" operator="lessThan">
      <formula>40</formula>
    </cfRule>
  </conditionalFormatting>
  <conditionalFormatting sqref="M53">
    <cfRule type="cellIs" dxfId="855" priority="858" operator="greaterThan">
      <formula>0</formula>
    </cfRule>
  </conditionalFormatting>
  <conditionalFormatting sqref="N53">
    <cfRule type="cellIs" dxfId="854" priority="857" operator="greaterThan">
      <formula>0</formula>
    </cfRule>
  </conditionalFormatting>
  <conditionalFormatting sqref="O53">
    <cfRule type="cellIs" dxfId="853" priority="856" operator="greaterThan">
      <formula>0</formula>
    </cfRule>
  </conditionalFormatting>
  <conditionalFormatting sqref="P53">
    <cfRule type="cellIs" dxfId="852" priority="855" operator="greaterThan">
      <formula>0</formula>
    </cfRule>
  </conditionalFormatting>
  <conditionalFormatting sqref="M118 M106 M108:M109 M111:M112">
    <cfRule type="cellIs" dxfId="851" priority="854" operator="greaterThan">
      <formula>0</formula>
    </cfRule>
  </conditionalFormatting>
  <conditionalFormatting sqref="N118 N106 N108:N109 N111:N112">
    <cfRule type="cellIs" dxfId="850" priority="853" operator="greaterThan">
      <formula>0</formula>
    </cfRule>
  </conditionalFormatting>
  <conditionalFormatting sqref="O118 O106 O108:O109 O111:O112">
    <cfRule type="cellIs" dxfId="849" priority="852" operator="greaterThan">
      <formula>0</formula>
    </cfRule>
  </conditionalFormatting>
  <conditionalFormatting sqref="P118 P106 P108:P109 P111:P112">
    <cfRule type="cellIs" dxfId="848" priority="851" operator="greaterThan">
      <formula>0</formula>
    </cfRule>
  </conditionalFormatting>
  <conditionalFormatting sqref="I129:K129">
    <cfRule type="cellIs" dxfId="847" priority="849" operator="lessThan">
      <formula>0</formula>
    </cfRule>
    <cfRule type="cellIs" dxfId="846" priority="850" operator="greaterThan">
      <formula>0</formula>
    </cfRule>
  </conditionalFormatting>
  <conditionalFormatting sqref="F129">
    <cfRule type="cellIs" dxfId="845" priority="847" operator="greaterThan">
      <formula>0</formula>
    </cfRule>
    <cfRule type="cellIs" dxfId="844" priority="848" operator="lessThan">
      <formula>0</formula>
    </cfRule>
  </conditionalFormatting>
  <conditionalFormatting sqref="Y129">
    <cfRule type="cellIs" dxfId="843" priority="845" operator="lessThan">
      <formula>40</formula>
    </cfRule>
    <cfRule type="cellIs" dxfId="842" priority="846" operator="lessThan">
      <formula>40</formula>
    </cfRule>
  </conditionalFormatting>
  <conditionalFormatting sqref="M129">
    <cfRule type="cellIs" dxfId="841" priority="844" operator="greaterThan">
      <formula>0</formula>
    </cfRule>
  </conditionalFormatting>
  <conditionalFormatting sqref="N129">
    <cfRule type="cellIs" dxfId="840" priority="843" operator="greaterThan">
      <formula>0</formula>
    </cfRule>
  </conditionalFormatting>
  <conditionalFormatting sqref="O129">
    <cfRule type="cellIs" dxfId="839" priority="842" operator="greaterThan">
      <formula>0</formula>
    </cfRule>
  </conditionalFormatting>
  <conditionalFormatting sqref="P129">
    <cfRule type="cellIs" dxfId="838" priority="841" operator="greaterThan">
      <formula>0</formula>
    </cfRule>
  </conditionalFormatting>
  <conditionalFormatting sqref="I119:K119">
    <cfRule type="cellIs" dxfId="837" priority="839" operator="lessThan">
      <formula>0</formula>
    </cfRule>
    <cfRule type="cellIs" dxfId="836" priority="840" operator="greaterThan">
      <formula>0</formula>
    </cfRule>
  </conditionalFormatting>
  <conditionalFormatting sqref="F119">
    <cfRule type="cellIs" dxfId="835" priority="837" operator="greaterThan">
      <formula>0</formula>
    </cfRule>
    <cfRule type="cellIs" dxfId="834" priority="838" operator="lessThan">
      <formula>0</formula>
    </cfRule>
  </conditionalFormatting>
  <conditionalFormatting sqref="Y119">
    <cfRule type="cellIs" dxfId="833" priority="835" operator="lessThan">
      <formula>40</formula>
    </cfRule>
    <cfRule type="cellIs" dxfId="832" priority="836" operator="lessThan">
      <formula>40</formula>
    </cfRule>
  </conditionalFormatting>
  <conditionalFormatting sqref="M119">
    <cfRule type="cellIs" dxfId="831" priority="834" operator="greaterThan">
      <formula>0</formula>
    </cfRule>
  </conditionalFormatting>
  <conditionalFormatting sqref="N119">
    <cfRule type="cellIs" dxfId="830" priority="833" operator="greaterThan">
      <formula>0</formula>
    </cfRule>
  </conditionalFormatting>
  <conditionalFormatting sqref="O119">
    <cfRule type="cellIs" dxfId="829" priority="832" operator="greaterThan">
      <formula>0</formula>
    </cfRule>
  </conditionalFormatting>
  <conditionalFormatting sqref="P119">
    <cfRule type="cellIs" dxfId="828" priority="831" operator="greaterThan">
      <formula>0</formula>
    </cfRule>
  </conditionalFormatting>
  <conditionalFormatting sqref="I113:K113">
    <cfRule type="cellIs" dxfId="827" priority="825" operator="lessThan">
      <formula>0</formula>
    </cfRule>
    <cfRule type="cellIs" dxfId="826" priority="826" operator="greaterThan">
      <formula>0</formula>
    </cfRule>
  </conditionalFormatting>
  <conditionalFormatting sqref="M113">
    <cfRule type="cellIs" dxfId="825" priority="830" operator="greaterThan">
      <formula>0</formula>
    </cfRule>
  </conditionalFormatting>
  <conditionalFormatting sqref="N113">
    <cfRule type="cellIs" dxfId="824" priority="829" operator="greaterThan">
      <formula>0</formula>
    </cfRule>
  </conditionalFormatting>
  <conditionalFormatting sqref="O113">
    <cfRule type="cellIs" dxfId="823" priority="828" operator="greaterThan">
      <formula>0</formula>
    </cfRule>
  </conditionalFormatting>
  <conditionalFormatting sqref="P113">
    <cfRule type="cellIs" dxfId="822" priority="827" operator="greaterThan">
      <formula>0</formula>
    </cfRule>
  </conditionalFormatting>
  <conditionalFormatting sqref="F113">
    <cfRule type="cellIs" dxfId="821" priority="823" operator="greaterThan">
      <formula>0</formula>
    </cfRule>
    <cfRule type="cellIs" dxfId="820" priority="824" operator="lessThan">
      <formula>0</formula>
    </cfRule>
  </conditionalFormatting>
  <conditionalFormatting sqref="Y113">
    <cfRule type="cellIs" dxfId="819" priority="821" operator="lessThan">
      <formula>40</formula>
    </cfRule>
    <cfRule type="cellIs" dxfId="818" priority="822" operator="lessThan">
      <formula>40</formula>
    </cfRule>
  </conditionalFormatting>
  <conditionalFormatting sqref="R53">
    <cfRule type="cellIs" dxfId="817" priority="820" operator="greaterThan">
      <formula>0</formula>
    </cfRule>
  </conditionalFormatting>
  <conditionalFormatting sqref="S53">
    <cfRule type="cellIs" dxfId="816" priority="819" operator="greaterThan">
      <formula>0</formula>
    </cfRule>
  </conditionalFormatting>
  <conditionalFormatting sqref="T53">
    <cfRule type="cellIs" dxfId="815" priority="818" operator="greaterThan">
      <formula>0</formula>
    </cfRule>
  </conditionalFormatting>
  <conditionalFormatting sqref="U53">
    <cfRule type="cellIs" dxfId="814" priority="817" operator="greaterThan">
      <formula>0</formula>
    </cfRule>
  </conditionalFormatting>
  <conditionalFormatting sqref="R118 R106 R108:R109 R111:R112">
    <cfRule type="cellIs" dxfId="813" priority="816" operator="greaterThan">
      <formula>0</formula>
    </cfRule>
  </conditionalFormatting>
  <conditionalFormatting sqref="S118 S106 S108:S109 S111:S112">
    <cfRule type="cellIs" dxfId="812" priority="815" operator="greaterThan">
      <formula>0</formula>
    </cfRule>
  </conditionalFormatting>
  <conditionalFormatting sqref="T118 T106 T108:T109 T111:T112">
    <cfRule type="cellIs" dxfId="811" priority="814" operator="greaterThan">
      <formula>0</formula>
    </cfRule>
  </conditionalFormatting>
  <conditionalFormatting sqref="U118 U106 U108:U109 U111:U112">
    <cfRule type="cellIs" dxfId="810" priority="813" operator="greaterThan">
      <formula>0</formula>
    </cfRule>
  </conditionalFormatting>
  <conditionalFormatting sqref="R129">
    <cfRule type="cellIs" dxfId="809" priority="812" operator="greaterThan">
      <formula>0</formula>
    </cfRule>
  </conditionalFormatting>
  <conditionalFormatting sqref="S129">
    <cfRule type="cellIs" dxfId="808" priority="811" operator="greaterThan">
      <formula>0</formula>
    </cfRule>
  </conditionalFormatting>
  <conditionalFormatting sqref="T129">
    <cfRule type="cellIs" dxfId="807" priority="810" operator="greaterThan">
      <formula>0</formula>
    </cfRule>
  </conditionalFormatting>
  <conditionalFormatting sqref="U129">
    <cfRule type="cellIs" dxfId="806" priority="809" operator="greaterThan">
      <formula>0</formula>
    </cfRule>
  </conditionalFormatting>
  <conditionalFormatting sqref="R119">
    <cfRule type="cellIs" dxfId="805" priority="808" operator="greaterThan">
      <formula>0</formula>
    </cfRule>
  </conditionalFormatting>
  <conditionalFormatting sqref="S119">
    <cfRule type="cellIs" dxfId="804" priority="807" operator="greaterThan">
      <formula>0</formula>
    </cfRule>
  </conditionalFormatting>
  <conditionalFormatting sqref="T119">
    <cfRule type="cellIs" dxfId="803" priority="806" operator="greaterThan">
      <formula>0</formula>
    </cfRule>
  </conditionalFormatting>
  <conditionalFormatting sqref="U119">
    <cfRule type="cellIs" dxfId="802" priority="805" operator="greaterThan">
      <formula>0</formula>
    </cfRule>
  </conditionalFormatting>
  <conditionalFormatting sqref="R113">
    <cfRule type="cellIs" dxfId="801" priority="804" operator="greaterThan">
      <formula>0</formula>
    </cfRule>
  </conditionalFormatting>
  <conditionalFormatting sqref="S113">
    <cfRule type="cellIs" dxfId="800" priority="803" operator="greaterThan">
      <formula>0</formula>
    </cfRule>
  </conditionalFormatting>
  <conditionalFormatting sqref="T113">
    <cfRule type="cellIs" dxfId="799" priority="802" operator="greaterThan">
      <formula>0</formula>
    </cfRule>
  </conditionalFormatting>
  <conditionalFormatting sqref="U113">
    <cfRule type="cellIs" dxfId="798" priority="801" operator="greaterThan">
      <formula>0</formula>
    </cfRule>
  </conditionalFormatting>
  <conditionalFormatting sqref="W63">
    <cfRule type="cellIs" dxfId="797" priority="799" operator="greaterThan">
      <formula>$D63</formula>
    </cfRule>
    <cfRule type="cellIs" dxfId="796" priority="800" operator="lessThan">
      <formula>$D63</formula>
    </cfRule>
  </conditionalFormatting>
  <conditionalFormatting sqref="W87:W88">
    <cfRule type="cellIs" dxfId="795" priority="797" operator="greaterThan">
      <formula>$D87</formula>
    </cfRule>
    <cfRule type="cellIs" dxfId="794" priority="798" operator="lessThan">
      <formula>$D87</formula>
    </cfRule>
  </conditionalFormatting>
  <conditionalFormatting sqref="W108:W109 W111">
    <cfRule type="cellIs" dxfId="793" priority="795" operator="greaterThan">
      <formula>$D108</formula>
    </cfRule>
    <cfRule type="cellIs" dxfId="792" priority="796" operator="lessThan">
      <formula>$D108</formula>
    </cfRule>
  </conditionalFormatting>
  <conditionalFormatting sqref="W113">
    <cfRule type="cellIs" dxfId="791" priority="793" operator="greaterThan">
      <formula>$D113</formula>
    </cfRule>
    <cfRule type="cellIs" dxfId="790" priority="794" operator="lessThan">
      <formula>$D113</formula>
    </cfRule>
  </conditionalFormatting>
  <conditionalFormatting sqref="F12:F15 I12:K15">
    <cfRule type="cellIs" dxfId="789" priority="789" operator="lessThan">
      <formula>0</formula>
    </cfRule>
    <cfRule type="cellIs" dxfId="788" priority="790" operator="lessThan">
      <formula>0</formula>
    </cfRule>
    <cfRule type="cellIs" dxfId="787" priority="791" operator="greaterThan">
      <formula>0</formula>
    </cfRule>
    <cfRule type="cellIs" dxfId="786" priority="792" operator="greaterThan">
      <formula>0</formula>
    </cfRule>
  </conditionalFormatting>
  <conditionalFormatting sqref="M12:M15">
    <cfRule type="cellIs" dxfId="785" priority="788" operator="greaterThan">
      <formula>0</formula>
    </cfRule>
  </conditionalFormatting>
  <conditionalFormatting sqref="N12:N15">
    <cfRule type="cellIs" dxfId="784" priority="787" operator="greaterThan">
      <formula>0</formula>
    </cfRule>
  </conditionalFormatting>
  <conditionalFormatting sqref="O12:O15">
    <cfRule type="cellIs" dxfId="783" priority="786" operator="greaterThan">
      <formula>0</formula>
    </cfRule>
  </conditionalFormatting>
  <conditionalFormatting sqref="I12:K15">
    <cfRule type="cellIs" dxfId="782" priority="784" operator="lessThan">
      <formula>0</formula>
    </cfRule>
    <cfRule type="cellIs" dxfId="781" priority="785" operator="greaterThan">
      <formula>0</formula>
    </cfRule>
  </conditionalFormatting>
  <conditionalFormatting sqref="F12:F15">
    <cfRule type="cellIs" dxfId="780" priority="782" operator="greaterThan">
      <formula>0</formula>
    </cfRule>
    <cfRule type="cellIs" dxfId="779" priority="783" operator="lessThan">
      <formula>0</formula>
    </cfRule>
  </conditionalFormatting>
  <conditionalFormatting sqref="M12:M15">
    <cfRule type="cellIs" dxfId="778" priority="781" operator="greaterThan">
      <formula>0</formula>
    </cfRule>
  </conditionalFormatting>
  <conditionalFormatting sqref="N12:N15">
    <cfRule type="cellIs" dxfId="777" priority="780" operator="greaterThan">
      <formula>0</formula>
    </cfRule>
  </conditionalFormatting>
  <conditionalFormatting sqref="O12:O15">
    <cfRule type="cellIs" dxfId="776" priority="779" operator="greaterThan">
      <formula>0</formula>
    </cfRule>
  </conditionalFormatting>
  <conditionalFormatting sqref="P12:P15">
    <cfRule type="cellIs" dxfId="775" priority="778" operator="greaterThan">
      <formula>0</formula>
    </cfRule>
  </conditionalFormatting>
  <conditionalFormatting sqref="R12:R15">
    <cfRule type="cellIs" dxfId="774" priority="777" operator="greaterThan">
      <formula>0</formula>
    </cfRule>
  </conditionalFormatting>
  <conditionalFormatting sqref="S12:S15">
    <cfRule type="cellIs" dxfId="773" priority="776" operator="greaterThan">
      <formula>0</formula>
    </cfRule>
  </conditionalFormatting>
  <conditionalFormatting sqref="T12:T15">
    <cfRule type="cellIs" dxfId="772" priority="775" operator="greaterThan">
      <formula>0</formula>
    </cfRule>
  </conditionalFormatting>
  <conditionalFormatting sqref="R12:R15">
    <cfRule type="cellIs" dxfId="771" priority="774" operator="greaterThan">
      <formula>0</formula>
    </cfRule>
  </conditionalFormatting>
  <conditionalFormatting sqref="S12:S15">
    <cfRule type="cellIs" dxfId="770" priority="773" operator="greaterThan">
      <formula>0</formula>
    </cfRule>
  </conditionalFormatting>
  <conditionalFormatting sqref="T12:T15">
    <cfRule type="cellIs" dxfId="769" priority="772" operator="greaterThan">
      <formula>0</formula>
    </cfRule>
  </conditionalFormatting>
  <conditionalFormatting sqref="U12:U15">
    <cfRule type="cellIs" dxfId="768" priority="771" operator="greaterThan">
      <formula>0</formula>
    </cfRule>
  </conditionalFormatting>
  <conditionalFormatting sqref="I18:K18">
    <cfRule type="cellIs" dxfId="767" priority="767" operator="lessThan">
      <formula>0</formula>
    </cfRule>
    <cfRule type="cellIs" dxfId="766" priority="768" operator="lessThan">
      <formula>0</formula>
    </cfRule>
    <cfRule type="cellIs" dxfId="765" priority="769" operator="greaterThan">
      <formula>0</formula>
    </cfRule>
    <cfRule type="cellIs" dxfId="764" priority="770" operator="greaterThan">
      <formula>0</formula>
    </cfRule>
  </conditionalFormatting>
  <conditionalFormatting sqref="I18:K18">
    <cfRule type="cellIs" dxfId="763" priority="765" operator="lessThan">
      <formula>0</formula>
    </cfRule>
    <cfRule type="cellIs" dxfId="762" priority="766" operator="greaterThan">
      <formula>0</formula>
    </cfRule>
  </conditionalFormatting>
  <conditionalFormatting sqref="F39">
    <cfRule type="cellIs" dxfId="761" priority="761" operator="greaterThan">
      <formula>0</formula>
    </cfRule>
    <cfRule type="cellIs" dxfId="760" priority="762" operator="lessThan">
      <formula>0</formula>
    </cfRule>
  </conditionalFormatting>
  <conditionalFormatting sqref="M39">
    <cfRule type="cellIs" dxfId="759" priority="756" operator="greaterThan">
      <formula>0</formula>
    </cfRule>
  </conditionalFormatting>
  <conditionalFormatting sqref="N39">
    <cfRule type="cellIs" dxfId="758" priority="755" operator="greaterThan">
      <formula>0</formula>
    </cfRule>
  </conditionalFormatting>
  <conditionalFormatting sqref="O39">
    <cfRule type="cellIs" dxfId="757" priority="754" operator="greaterThan">
      <formula>0</formula>
    </cfRule>
  </conditionalFormatting>
  <conditionalFormatting sqref="P39">
    <cfRule type="cellIs" dxfId="756" priority="753" operator="greaterThan">
      <formula>0</formula>
    </cfRule>
  </conditionalFormatting>
  <conditionalFormatting sqref="V39:W39">
    <cfRule type="cellIs" dxfId="755" priority="763" operator="greaterThan">
      <formula>$D39</formula>
    </cfRule>
    <cfRule type="cellIs" dxfId="754" priority="764" operator="lessThan">
      <formula>$D39</formula>
    </cfRule>
  </conditionalFormatting>
  <conditionalFormatting sqref="I39:K39">
    <cfRule type="cellIs" dxfId="753" priority="759" operator="lessThan">
      <formula>0</formula>
    </cfRule>
    <cfRule type="cellIs" dxfId="752" priority="760" operator="greaterThan">
      <formula>0</formula>
    </cfRule>
  </conditionalFormatting>
  <conditionalFormatting sqref="Y39">
    <cfRule type="cellIs" dxfId="751" priority="757" operator="lessThan">
      <formula>40</formula>
    </cfRule>
    <cfRule type="cellIs" dxfId="750" priority="758" operator="lessThan">
      <formula>40</formula>
    </cfRule>
  </conditionalFormatting>
  <conditionalFormatting sqref="R39">
    <cfRule type="cellIs" dxfId="749" priority="752" operator="greaterThan">
      <formula>0</formula>
    </cfRule>
  </conditionalFormatting>
  <conditionalFormatting sqref="S39">
    <cfRule type="cellIs" dxfId="748" priority="751" operator="greaterThan">
      <formula>0</formula>
    </cfRule>
  </conditionalFormatting>
  <conditionalFormatting sqref="T39">
    <cfRule type="cellIs" dxfId="747" priority="750" operator="greaterThan">
      <formula>0</formula>
    </cfRule>
  </conditionalFormatting>
  <conditionalFormatting sqref="U39">
    <cfRule type="cellIs" dxfId="746" priority="749" operator="greaterThan">
      <formula>0</formula>
    </cfRule>
  </conditionalFormatting>
  <conditionalFormatting sqref="I102:K102">
    <cfRule type="cellIs" dxfId="745" priority="747" operator="lessThan">
      <formula>0</formula>
    </cfRule>
    <cfRule type="cellIs" dxfId="744" priority="748" operator="greaterThan">
      <formula>0</formula>
    </cfRule>
  </conditionalFormatting>
  <conditionalFormatting sqref="F102">
    <cfRule type="cellIs" dxfId="743" priority="745" operator="greaterThan">
      <formula>0</formula>
    </cfRule>
    <cfRule type="cellIs" dxfId="742" priority="746" operator="lessThan">
      <formula>0</formula>
    </cfRule>
  </conditionalFormatting>
  <conditionalFormatting sqref="Y102">
    <cfRule type="cellIs" dxfId="741" priority="743" operator="lessThan">
      <formula>40</formula>
    </cfRule>
    <cfRule type="cellIs" dxfId="740" priority="744" operator="lessThan">
      <formula>40</formula>
    </cfRule>
  </conditionalFormatting>
  <conditionalFormatting sqref="M102">
    <cfRule type="cellIs" dxfId="739" priority="742" operator="greaterThan">
      <formula>0</formula>
    </cfRule>
  </conditionalFormatting>
  <conditionalFormatting sqref="N102">
    <cfRule type="cellIs" dxfId="738" priority="741" operator="greaterThan">
      <formula>0</formula>
    </cfRule>
  </conditionalFormatting>
  <conditionalFormatting sqref="O102">
    <cfRule type="cellIs" dxfId="737" priority="740" operator="greaterThan">
      <formula>0</formula>
    </cfRule>
  </conditionalFormatting>
  <conditionalFormatting sqref="P102">
    <cfRule type="cellIs" dxfId="736" priority="739" operator="greaterThan">
      <formula>0</formula>
    </cfRule>
  </conditionalFormatting>
  <conditionalFormatting sqref="R102">
    <cfRule type="cellIs" dxfId="735" priority="738" operator="greaterThan">
      <formula>0</formula>
    </cfRule>
  </conditionalFormatting>
  <conditionalFormatting sqref="S102">
    <cfRule type="cellIs" dxfId="734" priority="737" operator="greaterThan">
      <formula>0</formula>
    </cfRule>
  </conditionalFormatting>
  <conditionalFormatting sqref="T102">
    <cfRule type="cellIs" dxfId="733" priority="736" operator="greaterThan">
      <formula>0</formula>
    </cfRule>
  </conditionalFormatting>
  <conditionalFormatting sqref="U102">
    <cfRule type="cellIs" dxfId="732" priority="735" operator="greaterThan">
      <formula>0</formula>
    </cfRule>
  </conditionalFormatting>
  <conditionalFormatting sqref="W102">
    <cfRule type="cellIs" dxfId="731" priority="733" operator="greaterThan">
      <formula>$D102</formula>
    </cfRule>
    <cfRule type="cellIs" dxfId="730" priority="734" operator="lessThan">
      <formula>$D102</formula>
    </cfRule>
  </conditionalFormatting>
  <conditionalFormatting sqref="I103:K103">
    <cfRule type="cellIs" dxfId="729" priority="731" operator="lessThan">
      <formula>0</formula>
    </cfRule>
    <cfRule type="cellIs" dxfId="728" priority="732" operator="greaterThan">
      <formula>0</formula>
    </cfRule>
  </conditionalFormatting>
  <conditionalFormatting sqref="F103">
    <cfRule type="cellIs" dxfId="727" priority="729" operator="greaterThan">
      <formula>0</formula>
    </cfRule>
    <cfRule type="cellIs" dxfId="726" priority="730" operator="lessThan">
      <formula>0</formula>
    </cfRule>
  </conditionalFormatting>
  <conditionalFormatting sqref="M103">
    <cfRule type="cellIs" dxfId="725" priority="728" operator="greaterThan">
      <formula>0</formula>
    </cfRule>
  </conditionalFormatting>
  <conditionalFormatting sqref="N103">
    <cfRule type="cellIs" dxfId="724" priority="727" operator="greaterThan">
      <formula>0</formula>
    </cfRule>
  </conditionalFormatting>
  <conditionalFormatting sqref="O103">
    <cfRule type="cellIs" dxfId="723" priority="726" operator="greaterThan">
      <formula>0</formula>
    </cfRule>
  </conditionalFormatting>
  <conditionalFormatting sqref="P103">
    <cfRule type="cellIs" dxfId="722" priority="725" operator="greaterThan">
      <formula>0</formula>
    </cfRule>
  </conditionalFormatting>
  <conditionalFormatting sqref="Y103">
    <cfRule type="cellIs" dxfId="721" priority="723" operator="lessThan">
      <formula>40</formula>
    </cfRule>
    <cfRule type="cellIs" dxfId="720" priority="724" operator="lessThan">
      <formula>40</formula>
    </cfRule>
  </conditionalFormatting>
  <conditionalFormatting sqref="R103">
    <cfRule type="cellIs" dxfId="719" priority="722" operator="greaterThan">
      <formula>0</formula>
    </cfRule>
  </conditionalFormatting>
  <conditionalFormatting sqref="S103">
    <cfRule type="cellIs" dxfId="718" priority="721" operator="greaterThan">
      <formula>0</formula>
    </cfRule>
  </conditionalFormatting>
  <conditionalFormatting sqref="T103">
    <cfRule type="cellIs" dxfId="717" priority="720" operator="greaterThan">
      <formula>0</formula>
    </cfRule>
  </conditionalFormatting>
  <conditionalFormatting sqref="U103">
    <cfRule type="cellIs" dxfId="716" priority="719" operator="greaterThan">
      <formula>0</formula>
    </cfRule>
  </conditionalFormatting>
  <conditionalFormatting sqref="W103">
    <cfRule type="cellIs" dxfId="715" priority="717" operator="greaterThan">
      <formula>$D103</formula>
    </cfRule>
    <cfRule type="cellIs" dxfId="714" priority="718" operator="lessThan">
      <formula>$D103</formula>
    </cfRule>
  </conditionalFormatting>
  <conditionalFormatting sqref="I105:K105">
    <cfRule type="cellIs" dxfId="713" priority="715" operator="lessThan">
      <formula>0</formula>
    </cfRule>
    <cfRule type="cellIs" dxfId="712" priority="716" operator="greaterThan">
      <formula>0</formula>
    </cfRule>
  </conditionalFormatting>
  <conditionalFormatting sqref="F105">
    <cfRule type="cellIs" dxfId="711" priority="713" operator="greaterThan">
      <formula>0</formula>
    </cfRule>
    <cfRule type="cellIs" dxfId="710" priority="714" operator="lessThan">
      <formula>0</formula>
    </cfRule>
  </conditionalFormatting>
  <conditionalFormatting sqref="Y105">
    <cfRule type="cellIs" dxfId="709" priority="711" operator="lessThan">
      <formula>40</formula>
    </cfRule>
    <cfRule type="cellIs" dxfId="708" priority="712" operator="lessThan">
      <formula>40</formula>
    </cfRule>
  </conditionalFormatting>
  <conditionalFormatting sqref="M105">
    <cfRule type="cellIs" dxfId="707" priority="710" operator="greaterThan">
      <formula>0</formula>
    </cfRule>
  </conditionalFormatting>
  <conditionalFormatting sqref="N105">
    <cfRule type="cellIs" dxfId="706" priority="709" operator="greaterThan">
      <formula>0</formula>
    </cfRule>
  </conditionalFormatting>
  <conditionalFormatting sqref="O105">
    <cfRule type="cellIs" dxfId="705" priority="708" operator="greaterThan">
      <formula>0</formula>
    </cfRule>
  </conditionalFormatting>
  <conditionalFormatting sqref="P105">
    <cfRule type="cellIs" dxfId="704" priority="707" operator="greaterThan">
      <formula>0</formula>
    </cfRule>
  </conditionalFormatting>
  <conditionalFormatting sqref="R105">
    <cfRule type="cellIs" dxfId="703" priority="706" operator="greaterThan">
      <formula>0</formula>
    </cfRule>
  </conditionalFormatting>
  <conditionalFormatting sqref="S105">
    <cfRule type="cellIs" dxfId="702" priority="705" operator="greaterThan">
      <formula>0</formula>
    </cfRule>
  </conditionalFormatting>
  <conditionalFormatting sqref="T105">
    <cfRule type="cellIs" dxfId="701" priority="704" operator="greaterThan">
      <formula>0</formula>
    </cfRule>
  </conditionalFormatting>
  <conditionalFormatting sqref="U105">
    <cfRule type="cellIs" dxfId="700" priority="703" operator="greaterThan">
      <formula>0</formula>
    </cfRule>
  </conditionalFormatting>
  <conditionalFormatting sqref="W105">
    <cfRule type="cellIs" dxfId="699" priority="701" operator="greaterThan">
      <formula>$D105</formula>
    </cfRule>
    <cfRule type="cellIs" dxfId="698" priority="702" operator="lessThan">
      <formula>$D105</formula>
    </cfRule>
  </conditionalFormatting>
  <conditionalFormatting sqref="W104">
    <cfRule type="cellIs" dxfId="697" priority="699" operator="greaterThan">
      <formula>$D104</formula>
    </cfRule>
    <cfRule type="cellIs" dxfId="696" priority="700" operator="lessThan">
      <formula>$D104</formula>
    </cfRule>
  </conditionalFormatting>
  <conditionalFormatting sqref="Y104">
    <cfRule type="cellIs" dxfId="695" priority="697" operator="lessThan">
      <formula>40</formula>
    </cfRule>
    <cfRule type="cellIs" dxfId="694" priority="698" operator="lessThan">
      <formula>40</formula>
    </cfRule>
  </conditionalFormatting>
  <conditionalFormatting sqref="M104 R104">
    <cfRule type="cellIs" dxfId="693" priority="696" operator="greaterThan">
      <formula>0</formula>
    </cfRule>
  </conditionalFormatting>
  <conditionalFormatting sqref="N104 S104">
    <cfRule type="cellIs" dxfId="692" priority="695" operator="greaterThan">
      <formula>0</formula>
    </cfRule>
  </conditionalFormatting>
  <conditionalFormatting sqref="O104 T104">
    <cfRule type="cellIs" dxfId="691" priority="694" operator="greaterThan">
      <formula>0</formula>
    </cfRule>
  </conditionalFormatting>
  <conditionalFormatting sqref="P104 U104">
    <cfRule type="cellIs" dxfId="690" priority="693" operator="greaterThan">
      <formula>0</formula>
    </cfRule>
  </conditionalFormatting>
  <conditionalFormatting sqref="I104:K104">
    <cfRule type="cellIs" dxfId="689" priority="691" operator="lessThan">
      <formula>0</formula>
    </cfRule>
    <cfRule type="cellIs" dxfId="688" priority="692" operator="greaterThan">
      <formula>0</formula>
    </cfRule>
  </conditionalFormatting>
  <conditionalFormatting sqref="F104">
    <cfRule type="cellIs" dxfId="687" priority="689" operator="greaterThan">
      <formula>0</formula>
    </cfRule>
    <cfRule type="cellIs" dxfId="686" priority="690" operator="lessThan">
      <formula>0</formula>
    </cfRule>
  </conditionalFormatting>
  <conditionalFormatting sqref="Y91">
    <cfRule type="cellIs" dxfId="685" priority="683" operator="lessThan">
      <formula>40</formula>
    </cfRule>
    <cfRule type="cellIs" dxfId="684" priority="684" operator="lessThan">
      <formula>40</formula>
    </cfRule>
  </conditionalFormatting>
  <conditionalFormatting sqref="M91">
    <cfRule type="cellIs" dxfId="683" priority="682" operator="greaterThan">
      <formula>0</formula>
    </cfRule>
  </conditionalFormatting>
  <conditionalFormatting sqref="N91">
    <cfRule type="cellIs" dxfId="682" priority="681" operator="greaterThan">
      <formula>0</formula>
    </cfRule>
  </conditionalFormatting>
  <conditionalFormatting sqref="O91">
    <cfRule type="cellIs" dxfId="681" priority="680" operator="greaterThan">
      <formula>0</formula>
    </cfRule>
  </conditionalFormatting>
  <conditionalFormatting sqref="P91">
    <cfRule type="cellIs" dxfId="680" priority="679" operator="greaterThan">
      <formula>0</formula>
    </cfRule>
  </conditionalFormatting>
  <conditionalFormatting sqref="I91:K91">
    <cfRule type="cellIs" dxfId="679" priority="687" operator="lessThan">
      <formula>0</formula>
    </cfRule>
    <cfRule type="cellIs" dxfId="678" priority="688" operator="greaterThan">
      <formula>0</formula>
    </cfRule>
  </conditionalFormatting>
  <conditionalFormatting sqref="F91">
    <cfRule type="cellIs" dxfId="677" priority="685" operator="greaterThan">
      <formula>0</formula>
    </cfRule>
    <cfRule type="cellIs" dxfId="676" priority="686" operator="lessThan">
      <formula>0</formula>
    </cfRule>
  </conditionalFormatting>
  <conditionalFormatting sqref="R91">
    <cfRule type="cellIs" dxfId="675" priority="678" operator="greaterThan">
      <formula>0</formula>
    </cfRule>
  </conditionalFormatting>
  <conditionalFormatting sqref="S91">
    <cfRule type="cellIs" dxfId="674" priority="677" operator="greaterThan">
      <formula>0</formula>
    </cfRule>
  </conditionalFormatting>
  <conditionalFormatting sqref="T91">
    <cfRule type="cellIs" dxfId="673" priority="676" operator="greaterThan">
      <formula>0</formula>
    </cfRule>
  </conditionalFormatting>
  <conditionalFormatting sqref="U91">
    <cfRule type="cellIs" dxfId="672" priority="675" operator="greaterThan">
      <formula>0</formula>
    </cfRule>
  </conditionalFormatting>
  <conditionalFormatting sqref="W91">
    <cfRule type="cellIs" dxfId="671" priority="673" operator="greaterThan">
      <formula>$D91</formula>
    </cfRule>
    <cfRule type="cellIs" dxfId="670" priority="674" operator="lessThan">
      <formula>$D91</formula>
    </cfRule>
  </conditionalFormatting>
  <conditionalFormatting sqref="M101">
    <cfRule type="cellIs" dxfId="669" priority="666" operator="greaterThan">
      <formula>0</formula>
    </cfRule>
  </conditionalFormatting>
  <conditionalFormatting sqref="N101">
    <cfRule type="cellIs" dxfId="668" priority="665" operator="greaterThan">
      <formula>0</formula>
    </cfRule>
  </conditionalFormatting>
  <conditionalFormatting sqref="O101">
    <cfRule type="cellIs" dxfId="667" priority="664" operator="greaterThan">
      <formula>0</formula>
    </cfRule>
  </conditionalFormatting>
  <conditionalFormatting sqref="P101">
    <cfRule type="cellIs" dxfId="666" priority="663" operator="greaterThan">
      <formula>0</formula>
    </cfRule>
  </conditionalFormatting>
  <conditionalFormatting sqref="R101">
    <cfRule type="cellIs" dxfId="665" priority="662" operator="greaterThan">
      <formula>0</formula>
    </cfRule>
  </conditionalFormatting>
  <conditionalFormatting sqref="S101">
    <cfRule type="cellIs" dxfId="664" priority="661" operator="greaterThan">
      <formula>0</formula>
    </cfRule>
  </conditionalFormatting>
  <conditionalFormatting sqref="T101">
    <cfRule type="cellIs" dxfId="663" priority="660" operator="greaterThan">
      <formula>0</formula>
    </cfRule>
  </conditionalFormatting>
  <conditionalFormatting sqref="U101">
    <cfRule type="cellIs" dxfId="662" priority="659" operator="greaterThan">
      <formula>0</formula>
    </cfRule>
  </conditionalFormatting>
  <conditionalFormatting sqref="I101:K101">
    <cfRule type="cellIs" dxfId="661" priority="671" operator="lessThan">
      <formula>0</formula>
    </cfRule>
    <cfRule type="cellIs" dxfId="660" priority="672" operator="greaterThan">
      <formula>0</formula>
    </cfRule>
  </conditionalFormatting>
  <conditionalFormatting sqref="F101">
    <cfRule type="cellIs" dxfId="659" priority="669" operator="greaterThan">
      <formula>0</formula>
    </cfRule>
    <cfRule type="cellIs" dxfId="658" priority="670" operator="lessThan">
      <formula>0</formula>
    </cfRule>
  </conditionalFormatting>
  <conditionalFormatting sqref="Y101">
    <cfRule type="cellIs" dxfId="657" priority="667" operator="lessThan">
      <formula>40</formula>
    </cfRule>
    <cfRule type="cellIs" dxfId="656" priority="668" operator="lessThan">
      <formula>40</formula>
    </cfRule>
  </conditionalFormatting>
  <conditionalFormatting sqref="I114:K114">
    <cfRule type="cellIs" dxfId="655" priority="657" operator="lessThan">
      <formula>0</formula>
    </cfRule>
    <cfRule type="cellIs" dxfId="654" priority="658" operator="greaterThan">
      <formula>0</formula>
    </cfRule>
  </conditionalFormatting>
  <conditionalFormatting sqref="F114">
    <cfRule type="cellIs" dxfId="653" priority="655" operator="greaterThan">
      <formula>0</formula>
    </cfRule>
    <cfRule type="cellIs" dxfId="652" priority="656" operator="lessThan">
      <formula>0</formula>
    </cfRule>
  </conditionalFormatting>
  <conditionalFormatting sqref="Y114">
    <cfRule type="cellIs" dxfId="651" priority="653" operator="lessThan">
      <formula>40</formula>
    </cfRule>
    <cfRule type="cellIs" dxfId="650" priority="654" operator="lessThan">
      <formula>40</formula>
    </cfRule>
  </conditionalFormatting>
  <conditionalFormatting sqref="M114">
    <cfRule type="cellIs" dxfId="649" priority="652" operator="greaterThan">
      <formula>0</formula>
    </cfRule>
  </conditionalFormatting>
  <conditionalFormatting sqref="N114">
    <cfRule type="cellIs" dxfId="648" priority="651" operator="greaterThan">
      <formula>0</formula>
    </cfRule>
  </conditionalFormatting>
  <conditionalFormatting sqref="O114">
    <cfRule type="cellIs" dxfId="647" priority="650" operator="greaterThan">
      <formula>0</formula>
    </cfRule>
  </conditionalFormatting>
  <conditionalFormatting sqref="P114">
    <cfRule type="cellIs" dxfId="646" priority="649" operator="greaterThan">
      <formula>0</formula>
    </cfRule>
  </conditionalFormatting>
  <conditionalFormatting sqref="R114">
    <cfRule type="cellIs" dxfId="645" priority="648" operator="greaterThan">
      <formula>0</formula>
    </cfRule>
  </conditionalFormatting>
  <conditionalFormatting sqref="S114">
    <cfRule type="cellIs" dxfId="644" priority="647" operator="greaterThan">
      <formula>0</formula>
    </cfRule>
  </conditionalFormatting>
  <conditionalFormatting sqref="T114">
    <cfRule type="cellIs" dxfId="643" priority="646" operator="greaterThan">
      <formula>0</formula>
    </cfRule>
  </conditionalFormatting>
  <conditionalFormatting sqref="U114">
    <cfRule type="cellIs" dxfId="642" priority="645" operator="greaterThan">
      <formula>0</formula>
    </cfRule>
  </conditionalFormatting>
  <conditionalFormatting sqref="W114">
    <cfRule type="cellIs" dxfId="641" priority="643" operator="greaterThan">
      <formula>$D114</formula>
    </cfRule>
    <cfRule type="cellIs" dxfId="640" priority="644" operator="lessThan">
      <formula>$D114</formula>
    </cfRule>
  </conditionalFormatting>
  <conditionalFormatting sqref="I115:K115">
    <cfRule type="cellIs" dxfId="639" priority="641" operator="lessThan">
      <formula>0</formula>
    </cfRule>
    <cfRule type="cellIs" dxfId="638" priority="642" operator="greaterThan">
      <formula>0</formula>
    </cfRule>
  </conditionalFormatting>
  <conditionalFormatting sqref="F115">
    <cfRule type="cellIs" dxfId="637" priority="639" operator="greaterThan">
      <formula>0</formula>
    </cfRule>
    <cfRule type="cellIs" dxfId="636" priority="640" operator="lessThan">
      <formula>0</formula>
    </cfRule>
  </conditionalFormatting>
  <conditionalFormatting sqref="Y115">
    <cfRule type="cellIs" dxfId="635" priority="637" operator="lessThan">
      <formula>40</formula>
    </cfRule>
    <cfRule type="cellIs" dxfId="634" priority="638" operator="lessThan">
      <formula>40</formula>
    </cfRule>
  </conditionalFormatting>
  <conditionalFormatting sqref="M115">
    <cfRule type="cellIs" dxfId="633" priority="636" operator="greaterThan">
      <formula>0</formula>
    </cfRule>
  </conditionalFormatting>
  <conditionalFormatting sqref="N115">
    <cfRule type="cellIs" dxfId="632" priority="635" operator="greaterThan">
      <formula>0</formula>
    </cfRule>
  </conditionalFormatting>
  <conditionalFormatting sqref="O115">
    <cfRule type="cellIs" dxfId="631" priority="634" operator="greaterThan">
      <formula>0</formula>
    </cfRule>
  </conditionalFormatting>
  <conditionalFormatting sqref="P115">
    <cfRule type="cellIs" dxfId="630" priority="633" operator="greaterThan">
      <formula>0</formula>
    </cfRule>
  </conditionalFormatting>
  <conditionalFormatting sqref="R115">
    <cfRule type="cellIs" dxfId="629" priority="632" operator="greaterThan">
      <formula>0</formula>
    </cfRule>
  </conditionalFormatting>
  <conditionalFormatting sqref="S115">
    <cfRule type="cellIs" dxfId="628" priority="631" operator="greaterThan">
      <formula>0</formula>
    </cfRule>
  </conditionalFormatting>
  <conditionalFormatting sqref="T115">
    <cfRule type="cellIs" dxfId="627" priority="630" operator="greaterThan">
      <formula>0</formula>
    </cfRule>
  </conditionalFormatting>
  <conditionalFormatting sqref="U115">
    <cfRule type="cellIs" dxfId="626" priority="629" operator="greaterThan">
      <formula>0</formula>
    </cfRule>
  </conditionalFormatting>
  <conditionalFormatting sqref="W115">
    <cfRule type="cellIs" dxfId="625" priority="627" operator="greaterThan">
      <formula>$D115</formula>
    </cfRule>
    <cfRule type="cellIs" dxfId="624" priority="628" operator="lessThan">
      <formula>$D115</formula>
    </cfRule>
  </conditionalFormatting>
  <conditionalFormatting sqref="F23:F34">
    <cfRule type="cellIs" dxfId="623" priority="623" operator="lessThan">
      <formula>0</formula>
    </cfRule>
    <cfRule type="cellIs" dxfId="622" priority="624" operator="lessThan">
      <formula>0</formula>
    </cfRule>
    <cfRule type="cellIs" dxfId="621" priority="625" operator="greaterThan">
      <formula>0</formula>
    </cfRule>
    <cfRule type="cellIs" dxfId="620" priority="626" operator="greaterThan">
      <formula>0</formula>
    </cfRule>
  </conditionalFormatting>
  <conditionalFormatting sqref="F23:F34">
    <cfRule type="cellIs" dxfId="619" priority="621" operator="greaterThan">
      <formula>0</formula>
    </cfRule>
    <cfRule type="cellIs" dxfId="618" priority="622" operator="lessThan">
      <formula>0</formula>
    </cfRule>
  </conditionalFormatting>
  <conditionalFormatting sqref="R23:R34 M23:M34">
    <cfRule type="cellIs" dxfId="617" priority="620" operator="greaterThan">
      <formula>0</formula>
    </cfRule>
  </conditionalFormatting>
  <conditionalFormatting sqref="S23:S34 N23:N34">
    <cfRule type="cellIs" dxfId="616" priority="619" operator="greaterThan">
      <formula>0</formula>
    </cfRule>
  </conditionalFormatting>
  <conditionalFormatting sqref="T23:T34 O23:O34">
    <cfRule type="cellIs" dxfId="615" priority="618" operator="greaterThan">
      <formula>0</formula>
    </cfRule>
  </conditionalFormatting>
  <conditionalFormatting sqref="U23:U34 P23:P34">
    <cfRule type="cellIs" dxfId="614" priority="617" operator="greaterThan">
      <formula>0</formula>
    </cfRule>
  </conditionalFormatting>
  <conditionalFormatting sqref="I23:K34">
    <cfRule type="cellIs" dxfId="613" priority="613" operator="lessThan">
      <formula>0</formula>
    </cfRule>
    <cfRule type="cellIs" dxfId="612" priority="614" operator="lessThan">
      <formula>0</formula>
    </cfRule>
    <cfRule type="cellIs" dxfId="611" priority="615" operator="greaterThan">
      <formula>0</formula>
    </cfRule>
    <cfRule type="cellIs" dxfId="610" priority="616" operator="greaterThan">
      <formula>0</formula>
    </cfRule>
  </conditionalFormatting>
  <conditionalFormatting sqref="I23:K34">
    <cfRule type="cellIs" dxfId="609" priority="611" operator="lessThan">
      <formula>0</formula>
    </cfRule>
    <cfRule type="cellIs" dxfId="608" priority="612" operator="greaterThan">
      <formula>0</formula>
    </cfRule>
  </conditionalFormatting>
  <conditionalFormatting sqref="R64 M64">
    <cfRule type="cellIs" dxfId="607" priority="610" operator="greaterThan">
      <formula>0</formula>
    </cfRule>
  </conditionalFormatting>
  <conditionalFormatting sqref="S64 N64">
    <cfRule type="cellIs" dxfId="606" priority="609" operator="greaterThan">
      <formula>0</formula>
    </cfRule>
  </conditionalFormatting>
  <conditionalFormatting sqref="T64 O64">
    <cfRule type="cellIs" dxfId="605" priority="608" operator="greaterThan">
      <formula>0</formula>
    </cfRule>
  </conditionalFormatting>
  <conditionalFormatting sqref="U64 P64">
    <cfRule type="cellIs" dxfId="604" priority="607" operator="greaterThan">
      <formula>0</formula>
    </cfRule>
  </conditionalFormatting>
  <conditionalFormatting sqref="F64">
    <cfRule type="cellIs" dxfId="603" priority="605" operator="greaterThan">
      <formula>0</formula>
    </cfRule>
    <cfRule type="cellIs" dxfId="602" priority="606" operator="lessThan">
      <formula>0</formula>
    </cfRule>
  </conditionalFormatting>
  <conditionalFormatting sqref="I64:K64">
    <cfRule type="cellIs" dxfId="601" priority="603" operator="lessThan">
      <formula>0</formula>
    </cfRule>
    <cfRule type="cellIs" dxfId="600" priority="604" operator="greaterThan">
      <formula>0</formula>
    </cfRule>
  </conditionalFormatting>
  <conditionalFormatting sqref="Y64">
    <cfRule type="cellIs" dxfId="599" priority="601" operator="lessThan">
      <formula>40</formula>
    </cfRule>
    <cfRule type="cellIs" dxfId="598" priority="602" operator="lessThan">
      <formula>40</formula>
    </cfRule>
  </conditionalFormatting>
  <conditionalFormatting sqref="W64">
    <cfRule type="cellIs" dxfId="597" priority="599" operator="greaterThan">
      <formula>$D64</formula>
    </cfRule>
    <cfRule type="cellIs" dxfId="596" priority="600" operator="lessThan">
      <formula>$D64</formula>
    </cfRule>
  </conditionalFormatting>
  <conditionalFormatting sqref="I117:K117">
    <cfRule type="cellIs" dxfId="595" priority="597" operator="lessThan">
      <formula>0</formula>
    </cfRule>
    <cfRule type="cellIs" dxfId="594" priority="598" operator="greaterThan">
      <formula>0</formula>
    </cfRule>
  </conditionalFormatting>
  <conditionalFormatting sqref="F117">
    <cfRule type="cellIs" dxfId="593" priority="595" operator="greaterThan">
      <formula>0</formula>
    </cfRule>
    <cfRule type="cellIs" dxfId="592" priority="596" operator="lessThan">
      <formula>0</formula>
    </cfRule>
  </conditionalFormatting>
  <conditionalFormatting sqref="Y117">
    <cfRule type="cellIs" dxfId="591" priority="593" operator="lessThan">
      <formula>40</formula>
    </cfRule>
    <cfRule type="cellIs" dxfId="590" priority="594" operator="lessThan">
      <formula>40</formula>
    </cfRule>
  </conditionalFormatting>
  <conditionalFormatting sqref="M117">
    <cfRule type="cellIs" dxfId="589" priority="592" operator="greaterThan">
      <formula>0</formula>
    </cfRule>
  </conditionalFormatting>
  <conditionalFormatting sqref="N117">
    <cfRule type="cellIs" dxfId="588" priority="591" operator="greaterThan">
      <formula>0</formula>
    </cfRule>
  </conditionalFormatting>
  <conditionalFormatting sqref="O117">
    <cfRule type="cellIs" dxfId="587" priority="590" operator="greaterThan">
      <formula>0</formula>
    </cfRule>
  </conditionalFormatting>
  <conditionalFormatting sqref="P117">
    <cfRule type="cellIs" dxfId="586" priority="589" operator="greaterThan">
      <formula>0</formula>
    </cfRule>
  </conditionalFormatting>
  <conditionalFormatting sqref="R117">
    <cfRule type="cellIs" dxfId="585" priority="588" operator="greaterThan">
      <formula>0</formula>
    </cfRule>
  </conditionalFormatting>
  <conditionalFormatting sqref="S117">
    <cfRule type="cellIs" dxfId="584" priority="587" operator="greaterThan">
      <formula>0</formula>
    </cfRule>
  </conditionalFormatting>
  <conditionalFormatting sqref="T117">
    <cfRule type="cellIs" dxfId="583" priority="586" operator="greaterThan">
      <formula>0</formula>
    </cfRule>
  </conditionalFormatting>
  <conditionalFormatting sqref="U117">
    <cfRule type="cellIs" dxfId="582" priority="585" operator="greaterThan">
      <formula>0</formula>
    </cfRule>
  </conditionalFormatting>
  <conditionalFormatting sqref="W117">
    <cfRule type="cellIs" dxfId="581" priority="583" operator="greaterThan">
      <formula>$D117</formula>
    </cfRule>
    <cfRule type="cellIs" dxfId="580" priority="584" operator="lessThan">
      <formula>$D117</formula>
    </cfRule>
  </conditionalFormatting>
  <conditionalFormatting sqref="W49">
    <cfRule type="cellIs" dxfId="579" priority="581" operator="greaterThan">
      <formula>$D49</formula>
    </cfRule>
    <cfRule type="cellIs" dxfId="578" priority="582" operator="lessThan">
      <formula>$D49</formula>
    </cfRule>
  </conditionalFormatting>
  <conditionalFormatting sqref="I49:K49">
    <cfRule type="cellIs" dxfId="577" priority="579" operator="lessThan">
      <formula>0</formula>
    </cfRule>
    <cfRule type="cellIs" dxfId="576" priority="580" operator="greaterThan">
      <formula>0</formula>
    </cfRule>
  </conditionalFormatting>
  <conditionalFormatting sqref="F49">
    <cfRule type="cellIs" dxfId="575" priority="577" operator="greaterThan">
      <formula>0</formula>
    </cfRule>
    <cfRule type="cellIs" dxfId="574" priority="578" operator="lessThan">
      <formula>0</formula>
    </cfRule>
  </conditionalFormatting>
  <conditionalFormatting sqref="Y49">
    <cfRule type="cellIs" dxfId="573" priority="575" operator="lessThan">
      <formula>40</formula>
    </cfRule>
    <cfRule type="cellIs" dxfId="572" priority="576" operator="lessThan">
      <formula>40</formula>
    </cfRule>
  </conditionalFormatting>
  <conditionalFormatting sqref="R49 M49">
    <cfRule type="cellIs" dxfId="571" priority="574" operator="greaterThan">
      <formula>0</formula>
    </cfRule>
  </conditionalFormatting>
  <conditionalFormatting sqref="S49 N49">
    <cfRule type="cellIs" dxfId="570" priority="573" operator="greaterThan">
      <formula>0</formula>
    </cfRule>
  </conditionalFormatting>
  <conditionalFormatting sqref="T49 O49">
    <cfRule type="cellIs" dxfId="569" priority="572" operator="greaterThan">
      <formula>0</formula>
    </cfRule>
  </conditionalFormatting>
  <conditionalFormatting sqref="U49 P49">
    <cfRule type="cellIs" dxfId="568" priority="571" operator="greaterThan">
      <formula>0</formula>
    </cfRule>
  </conditionalFormatting>
  <conditionalFormatting sqref="W122">
    <cfRule type="cellIs" dxfId="567" priority="569" operator="greaterThan">
      <formula>$D122</formula>
    </cfRule>
    <cfRule type="cellIs" dxfId="566" priority="570" operator="lessThan">
      <formula>$D122</formula>
    </cfRule>
  </conditionalFormatting>
  <conditionalFormatting sqref="I122:K122">
    <cfRule type="cellIs" dxfId="565" priority="567" operator="lessThan">
      <formula>0</formula>
    </cfRule>
    <cfRule type="cellIs" dxfId="564" priority="568" operator="greaterThan">
      <formula>0</formula>
    </cfRule>
  </conditionalFormatting>
  <conditionalFormatting sqref="F122">
    <cfRule type="cellIs" dxfId="563" priority="565" operator="greaterThan">
      <formula>0</formula>
    </cfRule>
    <cfRule type="cellIs" dxfId="562" priority="566" operator="lessThan">
      <formula>0</formula>
    </cfRule>
  </conditionalFormatting>
  <conditionalFormatting sqref="Y122">
    <cfRule type="cellIs" dxfId="561" priority="563" operator="lessThan">
      <formula>40</formula>
    </cfRule>
    <cfRule type="cellIs" dxfId="560" priority="564" operator="lessThan">
      <formula>40</formula>
    </cfRule>
  </conditionalFormatting>
  <conditionalFormatting sqref="M122">
    <cfRule type="cellIs" dxfId="559" priority="562" operator="greaterThan">
      <formula>0</formula>
    </cfRule>
  </conditionalFormatting>
  <conditionalFormatting sqref="N122">
    <cfRule type="cellIs" dxfId="558" priority="561" operator="greaterThan">
      <formula>0</formula>
    </cfRule>
  </conditionalFormatting>
  <conditionalFormatting sqref="O122">
    <cfRule type="cellIs" dxfId="557" priority="560" operator="greaterThan">
      <formula>0</formula>
    </cfRule>
  </conditionalFormatting>
  <conditionalFormatting sqref="P122">
    <cfRule type="cellIs" dxfId="556" priority="559" operator="greaterThan">
      <formula>0</formula>
    </cfRule>
  </conditionalFormatting>
  <conditionalFormatting sqref="R122">
    <cfRule type="cellIs" dxfId="555" priority="558" operator="greaterThan">
      <formula>0</formula>
    </cfRule>
  </conditionalFormatting>
  <conditionalFormatting sqref="S122">
    <cfRule type="cellIs" dxfId="554" priority="557" operator="greaterThan">
      <formula>0</formula>
    </cfRule>
  </conditionalFormatting>
  <conditionalFormatting sqref="T122">
    <cfRule type="cellIs" dxfId="553" priority="556" operator="greaterThan">
      <formula>0</formula>
    </cfRule>
  </conditionalFormatting>
  <conditionalFormatting sqref="U122">
    <cfRule type="cellIs" dxfId="552" priority="555" operator="greaterThan">
      <formula>0</formula>
    </cfRule>
  </conditionalFormatting>
  <conditionalFormatting sqref="W45">
    <cfRule type="cellIs" dxfId="551" priority="553" operator="greaterThan">
      <formula>$D45</formula>
    </cfRule>
    <cfRule type="cellIs" dxfId="550" priority="554" operator="lessThan">
      <formula>$D45</formula>
    </cfRule>
  </conditionalFormatting>
  <conditionalFormatting sqref="Y45">
    <cfRule type="cellIs" dxfId="549" priority="551" operator="lessThan">
      <formula>40</formula>
    </cfRule>
    <cfRule type="cellIs" dxfId="548" priority="552" operator="lessThan">
      <formula>40</formula>
    </cfRule>
  </conditionalFormatting>
  <conditionalFormatting sqref="M45 R45">
    <cfRule type="cellIs" dxfId="547" priority="550" operator="greaterThan">
      <formula>0</formula>
    </cfRule>
  </conditionalFormatting>
  <conditionalFormatting sqref="N45 S45">
    <cfRule type="cellIs" dxfId="546" priority="549" operator="greaterThan">
      <formula>0</formula>
    </cfRule>
  </conditionalFormatting>
  <conditionalFormatting sqref="O45 T45">
    <cfRule type="cellIs" dxfId="545" priority="548" operator="greaterThan">
      <formula>0</formula>
    </cfRule>
  </conditionalFormatting>
  <conditionalFormatting sqref="P45 U45">
    <cfRule type="cellIs" dxfId="544" priority="547" operator="greaterThan">
      <formula>0</formula>
    </cfRule>
  </conditionalFormatting>
  <conditionalFormatting sqref="F45">
    <cfRule type="cellIs" dxfId="543" priority="545" operator="greaterThan">
      <formula>0</formula>
    </cfRule>
    <cfRule type="cellIs" dxfId="542" priority="546" operator="lessThan">
      <formula>0</formula>
    </cfRule>
  </conditionalFormatting>
  <conditionalFormatting sqref="I45:K45">
    <cfRule type="cellIs" dxfId="541" priority="543" operator="lessThan">
      <formula>0</formula>
    </cfRule>
    <cfRule type="cellIs" dxfId="540" priority="544" operator="greaterThan">
      <formula>0</formula>
    </cfRule>
  </conditionalFormatting>
  <conditionalFormatting sqref="W44">
    <cfRule type="cellIs" dxfId="539" priority="541" operator="greaterThan">
      <formula>$D44</formula>
    </cfRule>
    <cfRule type="cellIs" dxfId="538" priority="542" operator="lessThan">
      <formula>$D44</formula>
    </cfRule>
  </conditionalFormatting>
  <conditionalFormatting sqref="Y44">
    <cfRule type="cellIs" dxfId="537" priority="539" operator="lessThan">
      <formula>40</formula>
    </cfRule>
    <cfRule type="cellIs" dxfId="536" priority="540" operator="lessThan">
      <formula>40</formula>
    </cfRule>
  </conditionalFormatting>
  <conditionalFormatting sqref="M44 R44">
    <cfRule type="cellIs" dxfId="535" priority="538" operator="greaterThan">
      <formula>0</formula>
    </cfRule>
  </conditionalFormatting>
  <conditionalFormatting sqref="N44 S44">
    <cfRule type="cellIs" dxfId="534" priority="537" operator="greaterThan">
      <formula>0</formula>
    </cfRule>
  </conditionalFormatting>
  <conditionalFormatting sqref="O44 T44">
    <cfRule type="cellIs" dxfId="533" priority="536" operator="greaterThan">
      <formula>0</formula>
    </cfRule>
  </conditionalFormatting>
  <conditionalFormatting sqref="P44 U44">
    <cfRule type="cellIs" dxfId="532" priority="535" operator="greaterThan">
      <formula>0</formula>
    </cfRule>
  </conditionalFormatting>
  <conditionalFormatting sqref="F44">
    <cfRule type="cellIs" dxfId="531" priority="533" operator="greaterThan">
      <formula>0</formula>
    </cfRule>
    <cfRule type="cellIs" dxfId="530" priority="534" operator="lessThan">
      <formula>0</formula>
    </cfRule>
  </conditionalFormatting>
  <conditionalFormatting sqref="I44:K44">
    <cfRule type="cellIs" dxfId="529" priority="531" operator="lessThan">
      <formula>0</formula>
    </cfRule>
    <cfRule type="cellIs" dxfId="528" priority="532" operator="greaterThan">
      <formula>0</formula>
    </cfRule>
  </conditionalFormatting>
  <conditionalFormatting sqref="W48">
    <cfRule type="cellIs" dxfId="527" priority="529" operator="greaterThan">
      <formula>$D48</formula>
    </cfRule>
    <cfRule type="cellIs" dxfId="526" priority="530" operator="lessThan">
      <formula>$D48</formula>
    </cfRule>
  </conditionalFormatting>
  <conditionalFormatting sqref="I48:K48">
    <cfRule type="cellIs" dxfId="525" priority="527" operator="lessThan">
      <formula>0</formula>
    </cfRule>
    <cfRule type="cellIs" dxfId="524" priority="528" operator="greaterThan">
      <formula>0</formula>
    </cfRule>
  </conditionalFormatting>
  <conditionalFormatting sqref="Y48">
    <cfRule type="cellIs" dxfId="523" priority="525" operator="lessThan">
      <formula>40</formula>
    </cfRule>
    <cfRule type="cellIs" dxfId="522" priority="526" operator="lessThan">
      <formula>40</formula>
    </cfRule>
  </conditionalFormatting>
  <conditionalFormatting sqref="F48">
    <cfRule type="cellIs" dxfId="521" priority="523" operator="greaterThan">
      <formula>0</formula>
    </cfRule>
    <cfRule type="cellIs" dxfId="520" priority="524" operator="lessThan">
      <formula>0</formula>
    </cfRule>
  </conditionalFormatting>
  <conditionalFormatting sqref="M48">
    <cfRule type="cellIs" dxfId="519" priority="522" operator="greaterThan">
      <formula>0</formula>
    </cfRule>
  </conditionalFormatting>
  <conditionalFormatting sqref="N48">
    <cfRule type="cellIs" dxfId="518" priority="521" operator="greaterThan">
      <formula>0</formula>
    </cfRule>
  </conditionalFormatting>
  <conditionalFormatting sqref="O48">
    <cfRule type="cellIs" dxfId="517" priority="520" operator="greaterThan">
      <formula>0</formula>
    </cfRule>
  </conditionalFormatting>
  <conditionalFormatting sqref="P48">
    <cfRule type="cellIs" dxfId="516" priority="519" operator="greaterThan">
      <formula>0</formula>
    </cfRule>
  </conditionalFormatting>
  <conditionalFormatting sqref="R48">
    <cfRule type="cellIs" dxfId="515" priority="518" operator="greaterThan">
      <formula>0</formula>
    </cfRule>
  </conditionalFormatting>
  <conditionalFormatting sqref="S48">
    <cfRule type="cellIs" dxfId="514" priority="517" operator="greaterThan">
      <formula>0</formula>
    </cfRule>
  </conditionalFormatting>
  <conditionalFormatting sqref="T48">
    <cfRule type="cellIs" dxfId="513" priority="516" operator="greaterThan">
      <formula>0</formula>
    </cfRule>
  </conditionalFormatting>
  <conditionalFormatting sqref="U48">
    <cfRule type="cellIs" dxfId="512" priority="515" operator="greaterThan">
      <formula>0</formula>
    </cfRule>
  </conditionalFormatting>
  <conditionalFormatting sqref="W100">
    <cfRule type="cellIs" dxfId="511" priority="513" operator="greaterThan">
      <formula>$D100</formula>
    </cfRule>
    <cfRule type="cellIs" dxfId="510" priority="514" operator="lessThan">
      <formula>$D100</formula>
    </cfRule>
  </conditionalFormatting>
  <conditionalFormatting sqref="Y100">
    <cfRule type="cellIs" dxfId="509" priority="511" operator="lessThan">
      <formula>40</formula>
    </cfRule>
    <cfRule type="cellIs" dxfId="508" priority="512" operator="lessThan">
      <formula>40</formula>
    </cfRule>
  </conditionalFormatting>
  <conditionalFormatting sqref="M100 R100">
    <cfRule type="cellIs" dxfId="507" priority="510" operator="greaterThan">
      <formula>0</formula>
    </cfRule>
  </conditionalFormatting>
  <conditionalFormatting sqref="N100 S100">
    <cfRule type="cellIs" dxfId="506" priority="509" operator="greaterThan">
      <formula>0</formula>
    </cfRule>
  </conditionalFormatting>
  <conditionalFormatting sqref="O100 T100">
    <cfRule type="cellIs" dxfId="505" priority="508" operator="greaterThan">
      <formula>0</formula>
    </cfRule>
  </conditionalFormatting>
  <conditionalFormatting sqref="P100 U100">
    <cfRule type="cellIs" dxfId="504" priority="507" operator="greaterThan">
      <formula>0</formula>
    </cfRule>
  </conditionalFormatting>
  <conditionalFormatting sqref="F100">
    <cfRule type="cellIs" dxfId="503" priority="505" operator="greaterThan">
      <formula>0</formula>
    </cfRule>
    <cfRule type="cellIs" dxfId="502" priority="506" operator="lessThan">
      <formula>0</formula>
    </cfRule>
  </conditionalFormatting>
  <conditionalFormatting sqref="I100:K100">
    <cfRule type="cellIs" dxfId="501" priority="503" operator="lessThan">
      <formula>0</formula>
    </cfRule>
    <cfRule type="cellIs" dxfId="500" priority="504" operator="greaterThan">
      <formula>0</formula>
    </cfRule>
  </conditionalFormatting>
  <conditionalFormatting sqref="W83">
    <cfRule type="cellIs" dxfId="499" priority="501" operator="greaterThan">
      <formula>$D83</formula>
    </cfRule>
    <cfRule type="cellIs" dxfId="498" priority="502" operator="lessThan">
      <formula>$D83</formula>
    </cfRule>
  </conditionalFormatting>
  <conditionalFormatting sqref="Y83">
    <cfRule type="cellIs" dxfId="497" priority="499" operator="lessThan">
      <formula>40</formula>
    </cfRule>
    <cfRule type="cellIs" dxfId="496" priority="500" operator="lessThan">
      <formula>40</formula>
    </cfRule>
  </conditionalFormatting>
  <conditionalFormatting sqref="R83 M83">
    <cfRule type="cellIs" dxfId="495" priority="498" operator="greaterThan">
      <formula>0</formula>
    </cfRule>
  </conditionalFormatting>
  <conditionalFormatting sqref="S83 N83">
    <cfRule type="cellIs" dxfId="494" priority="497" operator="greaterThan">
      <formula>0</formula>
    </cfRule>
  </conditionalFormatting>
  <conditionalFormatting sqref="T83 O83">
    <cfRule type="cellIs" dxfId="493" priority="496" operator="greaterThan">
      <formula>0</formula>
    </cfRule>
  </conditionalFormatting>
  <conditionalFormatting sqref="U83 P83">
    <cfRule type="cellIs" dxfId="492" priority="495" operator="greaterThan">
      <formula>0</formula>
    </cfRule>
  </conditionalFormatting>
  <conditionalFormatting sqref="F83">
    <cfRule type="cellIs" dxfId="491" priority="493" operator="greaterThan">
      <formula>0</formula>
    </cfRule>
    <cfRule type="cellIs" dxfId="490" priority="494" operator="lessThan">
      <formula>0</formula>
    </cfRule>
  </conditionalFormatting>
  <conditionalFormatting sqref="I83:K83">
    <cfRule type="cellIs" dxfId="489" priority="491" operator="lessThan">
      <formula>0</formula>
    </cfRule>
    <cfRule type="cellIs" dxfId="488" priority="492" operator="greaterThan">
      <formula>0</formula>
    </cfRule>
  </conditionalFormatting>
  <conditionalFormatting sqref="Y84">
    <cfRule type="cellIs" dxfId="487" priority="489" operator="lessThan">
      <formula>40</formula>
    </cfRule>
    <cfRule type="cellIs" dxfId="486" priority="490" operator="lessThan">
      <formula>40</formula>
    </cfRule>
  </conditionalFormatting>
  <conditionalFormatting sqref="M84 R84">
    <cfRule type="cellIs" dxfId="485" priority="488" operator="greaterThan">
      <formula>0</formula>
    </cfRule>
  </conditionalFormatting>
  <conditionalFormatting sqref="N84 S84">
    <cfRule type="cellIs" dxfId="484" priority="487" operator="greaterThan">
      <formula>0</formula>
    </cfRule>
  </conditionalFormatting>
  <conditionalFormatting sqref="O84 T84">
    <cfRule type="cellIs" dxfId="483" priority="486" operator="greaterThan">
      <formula>0</formula>
    </cfRule>
  </conditionalFormatting>
  <conditionalFormatting sqref="P84 U84">
    <cfRule type="cellIs" dxfId="482" priority="485" operator="greaterThan">
      <formula>0</formula>
    </cfRule>
  </conditionalFormatting>
  <conditionalFormatting sqref="F84">
    <cfRule type="cellIs" dxfId="481" priority="483" operator="greaterThan">
      <formula>0</formula>
    </cfRule>
    <cfRule type="cellIs" dxfId="480" priority="484" operator="lessThan">
      <formula>0</formula>
    </cfRule>
  </conditionalFormatting>
  <conditionalFormatting sqref="I84:K84">
    <cfRule type="cellIs" dxfId="479" priority="481" operator="lessThan">
      <formula>0</formula>
    </cfRule>
    <cfRule type="cellIs" dxfId="478" priority="482" operator="greaterThan">
      <formula>0</formula>
    </cfRule>
  </conditionalFormatting>
  <conditionalFormatting sqref="W84">
    <cfRule type="cellIs" dxfId="477" priority="479" operator="greaterThan">
      <formula>$D84</formula>
    </cfRule>
    <cfRule type="cellIs" dxfId="476" priority="480" operator="lessThan">
      <formula>$D84</formula>
    </cfRule>
  </conditionalFormatting>
  <conditionalFormatting sqref="W72">
    <cfRule type="cellIs" dxfId="475" priority="477" operator="greaterThan">
      <formula>$D72</formula>
    </cfRule>
    <cfRule type="cellIs" dxfId="474" priority="478" operator="lessThan">
      <formula>$D72</formula>
    </cfRule>
  </conditionalFormatting>
  <conditionalFormatting sqref="Y72">
    <cfRule type="cellIs" dxfId="473" priority="475" operator="lessThan">
      <formula>40</formula>
    </cfRule>
    <cfRule type="cellIs" dxfId="472" priority="476" operator="lessThan">
      <formula>40</formula>
    </cfRule>
  </conditionalFormatting>
  <conditionalFormatting sqref="R72 M72">
    <cfRule type="cellIs" dxfId="471" priority="474" operator="greaterThan">
      <formula>0</formula>
    </cfRule>
  </conditionalFormatting>
  <conditionalFormatting sqref="S72 N72">
    <cfRule type="cellIs" dxfId="470" priority="473" operator="greaterThan">
      <formula>0</formula>
    </cfRule>
  </conditionalFormatting>
  <conditionalFormatting sqref="T72 O72">
    <cfRule type="cellIs" dxfId="469" priority="472" operator="greaterThan">
      <formula>0</formula>
    </cfRule>
  </conditionalFormatting>
  <conditionalFormatting sqref="U72 P72">
    <cfRule type="cellIs" dxfId="468" priority="471" operator="greaterThan">
      <formula>0</formula>
    </cfRule>
  </conditionalFormatting>
  <conditionalFormatting sqref="F72">
    <cfRule type="cellIs" dxfId="467" priority="469" operator="greaterThan">
      <formula>0</formula>
    </cfRule>
    <cfRule type="cellIs" dxfId="466" priority="470" operator="lessThan">
      <formula>0</formula>
    </cfRule>
  </conditionalFormatting>
  <conditionalFormatting sqref="I72:K72">
    <cfRule type="cellIs" dxfId="465" priority="467" operator="lessThan">
      <formula>0</formula>
    </cfRule>
    <cfRule type="cellIs" dxfId="464" priority="468" operator="greaterThan">
      <formula>0</formula>
    </cfRule>
  </conditionalFormatting>
  <conditionalFormatting sqref="Y107">
    <cfRule type="cellIs" dxfId="463" priority="465" operator="lessThan">
      <formula>40</formula>
    </cfRule>
    <cfRule type="cellIs" dxfId="462" priority="466" operator="lessThan">
      <formula>40</formula>
    </cfRule>
  </conditionalFormatting>
  <conditionalFormatting sqref="M107 R107">
    <cfRule type="cellIs" dxfId="461" priority="464" operator="greaterThan">
      <formula>0</formula>
    </cfRule>
  </conditionalFormatting>
  <conditionalFormatting sqref="N107 S107">
    <cfRule type="cellIs" dxfId="460" priority="463" operator="greaterThan">
      <formula>0</formula>
    </cfRule>
  </conditionalFormatting>
  <conditionalFormatting sqref="O107 T107">
    <cfRule type="cellIs" dxfId="459" priority="462" operator="greaterThan">
      <formula>0</formula>
    </cfRule>
  </conditionalFormatting>
  <conditionalFormatting sqref="P107 U107">
    <cfRule type="cellIs" dxfId="458" priority="461" operator="greaterThan">
      <formula>0</formula>
    </cfRule>
  </conditionalFormatting>
  <conditionalFormatting sqref="F107">
    <cfRule type="cellIs" dxfId="457" priority="459" operator="greaterThan">
      <formula>0</formula>
    </cfRule>
    <cfRule type="cellIs" dxfId="456" priority="460" operator="lessThan">
      <formula>0</formula>
    </cfRule>
  </conditionalFormatting>
  <conditionalFormatting sqref="I107:K107">
    <cfRule type="cellIs" dxfId="455" priority="457" operator="lessThan">
      <formula>0</formula>
    </cfRule>
    <cfRule type="cellIs" dxfId="454" priority="458" operator="greaterThan">
      <formula>0</formula>
    </cfRule>
  </conditionalFormatting>
  <conditionalFormatting sqref="W107">
    <cfRule type="cellIs" dxfId="453" priority="455" operator="greaterThan">
      <formula>$D107</formula>
    </cfRule>
    <cfRule type="cellIs" dxfId="452" priority="456" operator="lessThan">
      <formula>$D107</formula>
    </cfRule>
  </conditionalFormatting>
  <conditionalFormatting sqref="F133">
    <cfRule type="cellIs" dxfId="451" priority="453" operator="greaterThan">
      <formula>0</formula>
    </cfRule>
    <cfRule type="cellIs" dxfId="450" priority="454" operator="lessThan">
      <formula>0</formula>
    </cfRule>
  </conditionalFormatting>
  <conditionalFormatting sqref="I133:K133">
    <cfRule type="cellIs" dxfId="449" priority="451" operator="lessThan">
      <formula>0</formula>
    </cfRule>
    <cfRule type="cellIs" dxfId="448" priority="452" operator="greaterThan">
      <formula>0</formula>
    </cfRule>
  </conditionalFormatting>
  <conditionalFormatting sqref="M133">
    <cfRule type="cellIs" dxfId="447" priority="450" operator="greaterThan">
      <formula>0</formula>
    </cfRule>
  </conditionalFormatting>
  <conditionalFormatting sqref="N133">
    <cfRule type="cellIs" dxfId="446" priority="449" operator="greaterThan">
      <formula>0</formula>
    </cfRule>
  </conditionalFormatting>
  <conditionalFormatting sqref="O133">
    <cfRule type="cellIs" dxfId="445" priority="448" operator="greaterThan">
      <formula>0</formula>
    </cfRule>
  </conditionalFormatting>
  <conditionalFormatting sqref="P133">
    <cfRule type="cellIs" dxfId="444" priority="447" operator="greaterThan">
      <formula>0</formula>
    </cfRule>
  </conditionalFormatting>
  <conditionalFormatting sqref="R133">
    <cfRule type="cellIs" dxfId="443" priority="446" operator="greaterThan">
      <formula>0</formula>
    </cfRule>
  </conditionalFormatting>
  <conditionalFormatting sqref="S133">
    <cfRule type="cellIs" dxfId="442" priority="445" operator="greaterThan">
      <formula>0</formula>
    </cfRule>
  </conditionalFormatting>
  <conditionalFormatting sqref="T133">
    <cfRule type="cellIs" dxfId="441" priority="444" operator="greaterThan">
      <formula>0</formula>
    </cfRule>
  </conditionalFormatting>
  <conditionalFormatting sqref="U133">
    <cfRule type="cellIs" dxfId="440" priority="443" operator="greaterThan">
      <formula>0</formula>
    </cfRule>
  </conditionalFormatting>
  <conditionalFormatting sqref="V133:W133">
    <cfRule type="cellIs" dxfId="439" priority="441" operator="greaterThan">
      <formula>$D133</formula>
    </cfRule>
    <cfRule type="cellIs" dxfId="438" priority="442" operator="lessThan">
      <formula>$D133</formula>
    </cfRule>
  </conditionalFormatting>
  <conditionalFormatting sqref="I80:K80">
    <cfRule type="cellIs" dxfId="437" priority="427" operator="lessThan">
      <formula>0</formula>
    </cfRule>
    <cfRule type="cellIs" dxfId="436" priority="428" operator="greaterThan">
      <formula>0</formula>
    </cfRule>
  </conditionalFormatting>
  <conditionalFormatting sqref="R80 M80">
    <cfRule type="cellIs" dxfId="435" priority="434" operator="greaterThan">
      <formula>0</formula>
    </cfRule>
  </conditionalFormatting>
  <conditionalFormatting sqref="S80 N80">
    <cfRule type="cellIs" dxfId="434" priority="433" operator="greaterThan">
      <formula>0</formula>
    </cfRule>
  </conditionalFormatting>
  <conditionalFormatting sqref="T80 O80">
    <cfRule type="cellIs" dxfId="433" priority="432" operator="greaterThan">
      <formula>0</formula>
    </cfRule>
  </conditionalFormatting>
  <conditionalFormatting sqref="U80 P80">
    <cfRule type="cellIs" dxfId="432" priority="431" operator="greaterThan">
      <formula>0</formula>
    </cfRule>
  </conditionalFormatting>
  <conditionalFormatting sqref="W80">
    <cfRule type="cellIs" dxfId="431" priority="437" operator="greaterThan">
      <formula>$D80</formula>
    </cfRule>
    <cfRule type="cellIs" dxfId="430" priority="438" operator="lessThan">
      <formula>$D80</formula>
    </cfRule>
  </conditionalFormatting>
  <conditionalFormatting sqref="Y80">
    <cfRule type="cellIs" dxfId="429" priority="435" operator="lessThan">
      <formula>40</formula>
    </cfRule>
    <cfRule type="cellIs" dxfId="428" priority="436" operator="lessThan">
      <formula>40</formula>
    </cfRule>
  </conditionalFormatting>
  <conditionalFormatting sqref="F80">
    <cfRule type="cellIs" dxfId="427" priority="429" operator="greaterThan">
      <formula>0</formula>
    </cfRule>
    <cfRule type="cellIs" dxfId="426" priority="430" operator="lessThan">
      <formula>0</formula>
    </cfRule>
  </conditionalFormatting>
  <conditionalFormatting sqref="W59">
    <cfRule type="cellIs" dxfId="425" priority="425" operator="greaterThan">
      <formula>$D59</formula>
    </cfRule>
    <cfRule type="cellIs" dxfId="424" priority="426" operator="lessThan">
      <formula>$D59</formula>
    </cfRule>
  </conditionalFormatting>
  <conditionalFormatting sqref="F59">
    <cfRule type="cellIs" dxfId="423" priority="423" operator="greaterThan">
      <formula>0</formula>
    </cfRule>
    <cfRule type="cellIs" dxfId="422" priority="424" operator="lessThan">
      <formula>0</formula>
    </cfRule>
  </conditionalFormatting>
  <conditionalFormatting sqref="I59:K59">
    <cfRule type="cellIs" dxfId="421" priority="421" operator="lessThan">
      <formula>0</formula>
    </cfRule>
    <cfRule type="cellIs" dxfId="420" priority="422" operator="greaterThan">
      <formula>0</formula>
    </cfRule>
  </conditionalFormatting>
  <conditionalFormatting sqref="Y59">
    <cfRule type="cellIs" dxfId="419" priority="419" operator="lessThan">
      <formula>40</formula>
    </cfRule>
    <cfRule type="cellIs" dxfId="418" priority="420" operator="lessThan">
      <formula>40</formula>
    </cfRule>
  </conditionalFormatting>
  <conditionalFormatting sqref="M59 R59">
    <cfRule type="cellIs" dxfId="417" priority="418" operator="greaterThan">
      <formula>0</formula>
    </cfRule>
  </conditionalFormatting>
  <conditionalFormatting sqref="N59 S59">
    <cfRule type="cellIs" dxfId="416" priority="417" operator="greaterThan">
      <formula>0</formula>
    </cfRule>
  </conditionalFormatting>
  <conditionalFormatting sqref="O59 T59">
    <cfRule type="cellIs" dxfId="415" priority="416" operator="greaterThan">
      <formula>0</formula>
    </cfRule>
  </conditionalFormatting>
  <conditionalFormatting sqref="P59 U59">
    <cfRule type="cellIs" dxfId="414" priority="415" operator="greaterThan">
      <formula>0</formula>
    </cfRule>
  </conditionalFormatting>
  <conditionalFormatting sqref="R89 M89">
    <cfRule type="cellIs" dxfId="413" priority="414" operator="greaterThan">
      <formula>0</formula>
    </cfRule>
  </conditionalFormatting>
  <conditionalFormatting sqref="S89 N89">
    <cfRule type="cellIs" dxfId="412" priority="413" operator="greaterThan">
      <formula>0</formula>
    </cfRule>
  </conditionalFormatting>
  <conditionalFormatting sqref="T89 O89">
    <cfRule type="cellIs" dxfId="411" priority="412" operator="greaterThan">
      <formula>0</formula>
    </cfRule>
  </conditionalFormatting>
  <conditionalFormatting sqref="U89 P89">
    <cfRule type="cellIs" dxfId="410" priority="411" operator="greaterThan">
      <formula>0</formula>
    </cfRule>
  </conditionalFormatting>
  <conditionalFormatting sqref="I89:K89">
    <cfRule type="cellIs" dxfId="409" priority="409" operator="lessThan">
      <formula>0</formula>
    </cfRule>
    <cfRule type="cellIs" dxfId="408" priority="410" operator="greaterThan">
      <formula>0</formula>
    </cfRule>
  </conditionalFormatting>
  <conditionalFormatting sqref="F89">
    <cfRule type="cellIs" dxfId="407" priority="407" operator="greaterThan">
      <formula>0</formula>
    </cfRule>
    <cfRule type="cellIs" dxfId="406" priority="408" operator="lessThan">
      <formula>0</formula>
    </cfRule>
  </conditionalFormatting>
  <conditionalFormatting sqref="Y89">
    <cfRule type="cellIs" dxfId="405" priority="405" operator="lessThan">
      <formula>40</formula>
    </cfRule>
    <cfRule type="cellIs" dxfId="404" priority="406" operator="lessThan">
      <formula>40</formula>
    </cfRule>
  </conditionalFormatting>
  <conditionalFormatting sqref="W89">
    <cfRule type="cellIs" dxfId="403" priority="403" operator="greaterThan">
      <formula>$D89</formula>
    </cfRule>
    <cfRule type="cellIs" dxfId="402" priority="404" operator="lessThan">
      <formula>$D89</formula>
    </cfRule>
  </conditionalFormatting>
  <conditionalFormatting sqref="W121">
    <cfRule type="cellIs" dxfId="401" priority="401" operator="greaterThan">
      <formula>$D121</formula>
    </cfRule>
    <cfRule type="cellIs" dxfId="400" priority="402" operator="lessThan">
      <formula>$D121</formula>
    </cfRule>
  </conditionalFormatting>
  <conditionalFormatting sqref="I121:K121">
    <cfRule type="cellIs" dxfId="399" priority="399" operator="lessThan">
      <formula>0</formula>
    </cfRule>
    <cfRule type="cellIs" dxfId="398" priority="400" operator="greaterThan">
      <formula>0</formula>
    </cfRule>
  </conditionalFormatting>
  <conditionalFormatting sqref="F121">
    <cfRule type="cellIs" dxfId="397" priority="397" operator="greaterThan">
      <formula>0</formula>
    </cfRule>
    <cfRule type="cellIs" dxfId="396" priority="398" operator="lessThan">
      <formula>0</formula>
    </cfRule>
  </conditionalFormatting>
  <conditionalFormatting sqref="Y121">
    <cfRule type="cellIs" dxfId="395" priority="395" operator="lessThan">
      <formula>40</formula>
    </cfRule>
    <cfRule type="cellIs" dxfId="394" priority="396" operator="lessThan">
      <formula>40</formula>
    </cfRule>
  </conditionalFormatting>
  <conditionalFormatting sqref="M121">
    <cfRule type="cellIs" dxfId="393" priority="394" operator="greaterThan">
      <formula>0</formula>
    </cfRule>
  </conditionalFormatting>
  <conditionalFormatting sqref="N121">
    <cfRule type="cellIs" dxfId="392" priority="393" operator="greaterThan">
      <formula>0</formula>
    </cfRule>
  </conditionalFormatting>
  <conditionalFormatting sqref="O121">
    <cfRule type="cellIs" dxfId="391" priority="392" operator="greaterThan">
      <formula>0</formula>
    </cfRule>
  </conditionalFormatting>
  <conditionalFormatting sqref="P121">
    <cfRule type="cellIs" dxfId="390" priority="391" operator="greaterThan">
      <formula>0</formula>
    </cfRule>
  </conditionalFormatting>
  <conditionalFormatting sqref="R121">
    <cfRule type="cellIs" dxfId="389" priority="390" operator="greaterThan">
      <formula>0</formula>
    </cfRule>
  </conditionalFormatting>
  <conditionalFormatting sqref="S121">
    <cfRule type="cellIs" dxfId="388" priority="389" operator="greaterThan">
      <formula>0</formula>
    </cfRule>
  </conditionalFormatting>
  <conditionalFormatting sqref="T121">
    <cfRule type="cellIs" dxfId="387" priority="388" operator="greaterThan">
      <formula>0</formula>
    </cfRule>
  </conditionalFormatting>
  <conditionalFormatting sqref="U121">
    <cfRule type="cellIs" dxfId="386" priority="387" operator="greaterThan">
      <formula>0</formula>
    </cfRule>
  </conditionalFormatting>
  <conditionalFormatting sqref="W90">
    <cfRule type="cellIs" dxfId="385" priority="375" operator="greaterThan">
      <formula>$D90</formula>
    </cfRule>
    <cfRule type="cellIs" dxfId="384" priority="376" operator="lessThan">
      <formula>$D90</formula>
    </cfRule>
  </conditionalFormatting>
  <conditionalFormatting sqref="R90 M90">
    <cfRule type="cellIs" dxfId="383" priority="386" operator="greaterThan">
      <formula>0</formula>
    </cfRule>
  </conditionalFormatting>
  <conditionalFormatting sqref="S90 N90">
    <cfRule type="cellIs" dxfId="382" priority="385" operator="greaterThan">
      <formula>0</formula>
    </cfRule>
  </conditionalFormatting>
  <conditionalFormatting sqref="T90 O90">
    <cfRule type="cellIs" dxfId="381" priority="384" operator="greaterThan">
      <formula>0</formula>
    </cfRule>
  </conditionalFormatting>
  <conditionalFormatting sqref="U90 P90">
    <cfRule type="cellIs" dxfId="380" priority="383" operator="greaterThan">
      <formula>0</formula>
    </cfRule>
  </conditionalFormatting>
  <conditionalFormatting sqref="I90:K90">
    <cfRule type="cellIs" dxfId="379" priority="381" operator="lessThan">
      <formula>0</formula>
    </cfRule>
    <cfRule type="cellIs" dxfId="378" priority="382" operator="greaterThan">
      <formula>0</formula>
    </cfRule>
  </conditionalFormatting>
  <conditionalFormatting sqref="F90">
    <cfRule type="cellIs" dxfId="377" priority="379" operator="greaterThan">
      <formula>0</formula>
    </cfRule>
    <cfRule type="cellIs" dxfId="376" priority="380" operator="lessThan">
      <formula>0</formula>
    </cfRule>
  </conditionalFormatting>
  <conditionalFormatting sqref="Y90">
    <cfRule type="cellIs" dxfId="375" priority="377" operator="lessThan">
      <formula>40</formula>
    </cfRule>
    <cfRule type="cellIs" dxfId="374" priority="378" operator="lessThan">
      <formula>40</formula>
    </cfRule>
  </conditionalFormatting>
  <conditionalFormatting sqref="Y92:Y94">
    <cfRule type="cellIs" dxfId="373" priority="369" operator="lessThan">
      <formula>40</formula>
    </cfRule>
    <cfRule type="cellIs" dxfId="372" priority="370" operator="lessThan">
      <formula>40</formula>
    </cfRule>
  </conditionalFormatting>
  <conditionalFormatting sqref="M92:M94">
    <cfRule type="cellIs" dxfId="371" priority="368" operator="greaterThan">
      <formula>0</formula>
    </cfRule>
  </conditionalFormatting>
  <conditionalFormatting sqref="N92:N94">
    <cfRule type="cellIs" dxfId="370" priority="367" operator="greaterThan">
      <formula>0</formula>
    </cfRule>
  </conditionalFormatting>
  <conditionalFormatting sqref="O92:O94">
    <cfRule type="cellIs" dxfId="369" priority="366" operator="greaterThan">
      <formula>0</formula>
    </cfRule>
  </conditionalFormatting>
  <conditionalFormatting sqref="P92:P94">
    <cfRule type="cellIs" dxfId="368" priority="365" operator="greaterThan">
      <formula>0</formula>
    </cfRule>
  </conditionalFormatting>
  <conditionalFormatting sqref="I92:K94">
    <cfRule type="cellIs" dxfId="367" priority="373" operator="lessThan">
      <formula>0</formula>
    </cfRule>
    <cfRule type="cellIs" dxfId="366" priority="374" operator="greaterThan">
      <formula>0</formula>
    </cfRule>
  </conditionalFormatting>
  <conditionalFormatting sqref="F92:F94">
    <cfRule type="cellIs" dxfId="365" priority="371" operator="greaterThan">
      <formula>0</formula>
    </cfRule>
    <cfRule type="cellIs" dxfId="364" priority="372" operator="lessThan">
      <formula>0</formula>
    </cfRule>
  </conditionalFormatting>
  <conditionalFormatting sqref="R92:R94">
    <cfRule type="cellIs" dxfId="363" priority="364" operator="greaterThan">
      <formula>0</formula>
    </cfRule>
  </conditionalFormatting>
  <conditionalFormatting sqref="S92:S94">
    <cfRule type="cellIs" dxfId="362" priority="363" operator="greaterThan">
      <formula>0</formula>
    </cfRule>
  </conditionalFormatting>
  <conditionalFormatting sqref="T92:T94">
    <cfRule type="cellIs" dxfId="361" priority="362" operator="greaterThan">
      <formula>0</formula>
    </cfRule>
  </conditionalFormatting>
  <conditionalFormatting sqref="U92:U94">
    <cfRule type="cellIs" dxfId="360" priority="361" operator="greaterThan">
      <formula>0</formula>
    </cfRule>
  </conditionalFormatting>
  <conditionalFormatting sqref="W92:W94">
    <cfRule type="cellIs" dxfId="359" priority="359" operator="greaterThan">
      <formula>$D92</formula>
    </cfRule>
    <cfRule type="cellIs" dxfId="358" priority="360" operator="lessThan">
      <formula>$D92</formula>
    </cfRule>
  </conditionalFormatting>
  <conditionalFormatting sqref="I82:K82">
    <cfRule type="cellIs" dxfId="357" priority="347" operator="lessThan">
      <formula>0</formula>
    </cfRule>
    <cfRule type="cellIs" dxfId="356" priority="348" operator="greaterThan">
      <formula>0</formula>
    </cfRule>
  </conditionalFormatting>
  <conditionalFormatting sqref="R82 M82">
    <cfRule type="cellIs" dxfId="355" priority="354" operator="greaterThan">
      <formula>0</formula>
    </cfRule>
  </conditionalFormatting>
  <conditionalFormatting sqref="S82 N82">
    <cfRule type="cellIs" dxfId="354" priority="353" operator="greaterThan">
      <formula>0</formula>
    </cfRule>
  </conditionalFormatting>
  <conditionalFormatting sqref="T82 O82">
    <cfRule type="cellIs" dxfId="353" priority="352" operator="greaterThan">
      <formula>0</formula>
    </cfRule>
  </conditionalFormatting>
  <conditionalFormatting sqref="U82 P82">
    <cfRule type="cellIs" dxfId="352" priority="351" operator="greaterThan">
      <formula>0</formula>
    </cfRule>
  </conditionalFormatting>
  <conditionalFormatting sqref="W82">
    <cfRule type="cellIs" dxfId="351" priority="357" operator="greaterThan">
      <formula>$D82</formula>
    </cfRule>
    <cfRule type="cellIs" dxfId="350" priority="358" operator="lessThan">
      <formula>$D82</formula>
    </cfRule>
  </conditionalFormatting>
  <conditionalFormatting sqref="Y82">
    <cfRule type="cellIs" dxfId="349" priority="355" operator="lessThan">
      <formula>40</formula>
    </cfRule>
    <cfRule type="cellIs" dxfId="348" priority="356" operator="lessThan">
      <formula>40</formula>
    </cfRule>
  </conditionalFormatting>
  <conditionalFormatting sqref="F82">
    <cfRule type="cellIs" dxfId="347" priority="349" operator="greaterThan">
      <formula>0</formula>
    </cfRule>
    <cfRule type="cellIs" dxfId="346" priority="350" operator="lessThan">
      <formula>0</formula>
    </cfRule>
  </conditionalFormatting>
  <conditionalFormatting sqref="Y85">
    <cfRule type="cellIs" dxfId="345" priority="345" operator="lessThan">
      <formula>40</formula>
    </cfRule>
    <cfRule type="cellIs" dxfId="344" priority="346" operator="lessThan">
      <formula>40</formula>
    </cfRule>
  </conditionalFormatting>
  <conditionalFormatting sqref="M85 R85">
    <cfRule type="cellIs" dxfId="343" priority="344" operator="greaterThan">
      <formula>0</formula>
    </cfRule>
  </conditionalFormatting>
  <conditionalFormatting sqref="N85 S85">
    <cfRule type="cellIs" dxfId="342" priority="343" operator="greaterThan">
      <formula>0</formula>
    </cfRule>
  </conditionalFormatting>
  <conditionalFormatting sqref="O85 T85">
    <cfRule type="cellIs" dxfId="341" priority="342" operator="greaterThan">
      <formula>0</formula>
    </cfRule>
  </conditionalFormatting>
  <conditionalFormatting sqref="P85 U85">
    <cfRule type="cellIs" dxfId="340" priority="341" operator="greaterThan">
      <formula>0</formula>
    </cfRule>
  </conditionalFormatting>
  <conditionalFormatting sqref="F85">
    <cfRule type="cellIs" dxfId="339" priority="339" operator="greaterThan">
      <formula>0</formula>
    </cfRule>
    <cfRule type="cellIs" dxfId="338" priority="340" operator="lessThan">
      <formula>0</formula>
    </cfRule>
  </conditionalFormatting>
  <conditionalFormatting sqref="I85:K85">
    <cfRule type="cellIs" dxfId="337" priority="337" operator="lessThan">
      <formula>0</formula>
    </cfRule>
    <cfRule type="cellIs" dxfId="336" priority="338" operator="greaterThan">
      <formula>0</formula>
    </cfRule>
  </conditionalFormatting>
  <conditionalFormatting sqref="W85">
    <cfRule type="cellIs" dxfId="335" priority="335" operator="greaterThan">
      <formula>$D85</formula>
    </cfRule>
    <cfRule type="cellIs" dxfId="334" priority="336" operator="lessThan">
      <formula>$D85</formula>
    </cfRule>
  </conditionalFormatting>
  <conditionalFormatting sqref="I22:K22">
    <cfRule type="cellIs" dxfId="333" priority="319" operator="lessThan">
      <formula>0</formula>
    </cfRule>
    <cfRule type="cellIs" dxfId="332" priority="320" operator="greaterThan">
      <formula>0</formula>
    </cfRule>
  </conditionalFormatting>
  <conditionalFormatting sqref="F22">
    <cfRule type="cellIs" dxfId="331" priority="331" operator="lessThan">
      <formula>0</formula>
    </cfRule>
    <cfRule type="cellIs" dxfId="330" priority="332" operator="lessThan">
      <formula>0</formula>
    </cfRule>
    <cfRule type="cellIs" dxfId="329" priority="333" operator="greaterThan">
      <formula>0</formula>
    </cfRule>
    <cfRule type="cellIs" dxfId="328" priority="334" operator="greaterThan">
      <formula>0</formula>
    </cfRule>
  </conditionalFormatting>
  <conditionalFormatting sqref="F22">
    <cfRule type="cellIs" dxfId="327" priority="329" operator="greaterThan">
      <formula>0</formula>
    </cfRule>
    <cfRule type="cellIs" dxfId="326" priority="330" operator="lessThan">
      <formula>0</formula>
    </cfRule>
  </conditionalFormatting>
  <conditionalFormatting sqref="M22 R22">
    <cfRule type="cellIs" dxfId="325" priority="328" operator="greaterThan">
      <formula>0</formula>
    </cfRule>
  </conditionalFormatting>
  <conditionalFormatting sqref="N22 S22">
    <cfRule type="cellIs" dxfId="324" priority="327" operator="greaterThan">
      <formula>0</formula>
    </cfRule>
  </conditionalFormatting>
  <conditionalFormatting sqref="O22 T22">
    <cfRule type="cellIs" dxfId="323" priority="326" operator="greaterThan">
      <formula>0</formula>
    </cfRule>
  </conditionalFormatting>
  <conditionalFormatting sqref="P22 U22">
    <cfRule type="cellIs" dxfId="322" priority="325" operator="greaterThan">
      <formula>0</formula>
    </cfRule>
  </conditionalFormatting>
  <conditionalFormatting sqref="I22:K22">
    <cfRule type="cellIs" dxfId="321" priority="321" operator="lessThan">
      <formula>0</formula>
    </cfRule>
    <cfRule type="cellIs" dxfId="320" priority="322" operator="lessThan">
      <formula>0</formula>
    </cfRule>
    <cfRule type="cellIs" dxfId="319" priority="323" operator="greaterThan">
      <formula>0</formula>
    </cfRule>
    <cfRule type="cellIs" dxfId="318" priority="324" operator="greaterThan">
      <formula>0</formula>
    </cfRule>
  </conditionalFormatting>
  <conditionalFormatting sqref="W125">
    <cfRule type="cellIs" dxfId="317" priority="317" operator="greaterThan">
      <formula>$D125</formula>
    </cfRule>
    <cfRule type="cellIs" dxfId="316" priority="318" operator="lessThan">
      <formula>$D125</formula>
    </cfRule>
  </conditionalFormatting>
  <conditionalFormatting sqref="Y125">
    <cfRule type="cellIs" dxfId="315" priority="315" operator="lessThan">
      <formula>40</formula>
    </cfRule>
    <cfRule type="cellIs" dxfId="314" priority="316" operator="lessThan">
      <formula>40</formula>
    </cfRule>
  </conditionalFormatting>
  <conditionalFormatting sqref="M125 R125">
    <cfRule type="cellIs" dxfId="313" priority="314" operator="greaterThan">
      <formula>0</formula>
    </cfRule>
  </conditionalFormatting>
  <conditionalFormatting sqref="N125 S125">
    <cfRule type="cellIs" dxfId="312" priority="313" operator="greaterThan">
      <formula>0</formula>
    </cfRule>
  </conditionalFormatting>
  <conditionalFormatting sqref="O125 T125">
    <cfRule type="cellIs" dxfId="311" priority="312" operator="greaterThan">
      <formula>0</formula>
    </cfRule>
  </conditionalFormatting>
  <conditionalFormatting sqref="P125 U125">
    <cfRule type="cellIs" dxfId="310" priority="311" operator="greaterThan">
      <formula>0</formula>
    </cfRule>
  </conditionalFormatting>
  <conditionalFormatting sqref="F125">
    <cfRule type="cellIs" dxfId="309" priority="309" operator="greaterThan">
      <formula>0</formula>
    </cfRule>
    <cfRule type="cellIs" dxfId="308" priority="310" operator="lessThan">
      <formula>0</formula>
    </cfRule>
  </conditionalFormatting>
  <conditionalFormatting sqref="I125:K125">
    <cfRule type="cellIs" dxfId="307" priority="307" operator="lessThan">
      <formula>0</formula>
    </cfRule>
    <cfRule type="cellIs" dxfId="306" priority="308" operator="greaterThan">
      <formula>0</formula>
    </cfRule>
  </conditionalFormatting>
  <conditionalFormatting sqref="M153">
    <cfRule type="cellIs" dxfId="305" priority="305" operator="greaterThan">
      <formula>0</formula>
    </cfRule>
    <cfRule type="cellIs" dxfId="304" priority="306" operator="greaterThan">
      <formula>0</formula>
    </cfRule>
  </conditionalFormatting>
  <conditionalFormatting sqref="W51">
    <cfRule type="cellIs" dxfId="303" priority="303" operator="greaterThan">
      <formula>$D51</formula>
    </cfRule>
    <cfRule type="cellIs" dxfId="302" priority="304" operator="lessThan">
      <formula>$D51</formula>
    </cfRule>
  </conditionalFormatting>
  <conditionalFormatting sqref="I51:K51">
    <cfRule type="cellIs" dxfId="301" priority="301" operator="lessThan">
      <formula>0</formula>
    </cfRule>
    <cfRule type="cellIs" dxfId="300" priority="302" operator="greaterThan">
      <formula>0</formula>
    </cfRule>
  </conditionalFormatting>
  <conditionalFormatting sqref="F51">
    <cfRule type="cellIs" dxfId="299" priority="299" operator="greaterThan">
      <formula>0</formula>
    </cfRule>
    <cfRule type="cellIs" dxfId="298" priority="300" operator="lessThan">
      <formula>0</formula>
    </cfRule>
  </conditionalFormatting>
  <conditionalFormatting sqref="Y51">
    <cfRule type="cellIs" dxfId="297" priority="297" operator="lessThan">
      <formula>40</formula>
    </cfRule>
    <cfRule type="cellIs" dxfId="296" priority="298" operator="lessThan">
      <formula>40</formula>
    </cfRule>
  </conditionalFormatting>
  <conditionalFormatting sqref="M51 R51">
    <cfRule type="cellIs" dxfId="295" priority="296" operator="greaterThan">
      <formula>0</formula>
    </cfRule>
  </conditionalFormatting>
  <conditionalFormatting sqref="N51 S51">
    <cfRule type="cellIs" dxfId="294" priority="295" operator="greaterThan">
      <formula>0</formula>
    </cfRule>
  </conditionalFormatting>
  <conditionalFormatting sqref="O51 T51">
    <cfRule type="cellIs" dxfId="293" priority="294" operator="greaterThan">
      <formula>0</formula>
    </cfRule>
  </conditionalFormatting>
  <conditionalFormatting sqref="P51 U51">
    <cfRule type="cellIs" dxfId="292" priority="293" operator="greaterThan">
      <formula>0</formula>
    </cfRule>
  </conditionalFormatting>
  <conditionalFormatting sqref="W128">
    <cfRule type="cellIs" dxfId="291" priority="291" operator="greaterThan">
      <formula>$D128</formula>
    </cfRule>
    <cfRule type="cellIs" dxfId="290" priority="292" operator="lessThan">
      <formula>$D128</formula>
    </cfRule>
  </conditionalFormatting>
  <conditionalFormatting sqref="I128:K128">
    <cfRule type="cellIs" dxfId="289" priority="289" operator="lessThan">
      <formula>0</formula>
    </cfRule>
    <cfRule type="cellIs" dxfId="288" priority="290" operator="greaterThan">
      <formula>0</formula>
    </cfRule>
  </conditionalFormatting>
  <conditionalFormatting sqref="F128">
    <cfRule type="cellIs" dxfId="287" priority="287" operator="greaterThan">
      <formula>0</formula>
    </cfRule>
    <cfRule type="cellIs" dxfId="286" priority="288" operator="lessThan">
      <formula>0</formula>
    </cfRule>
  </conditionalFormatting>
  <conditionalFormatting sqref="Y128">
    <cfRule type="cellIs" dxfId="285" priority="285" operator="lessThan">
      <formula>40</formula>
    </cfRule>
    <cfRule type="cellIs" dxfId="284" priority="286" operator="lessThan">
      <formula>40</formula>
    </cfRule>
  </conditionalFormatting>
  <conditionalFormatting sqref="M128">
    <cfRule type="cellIs" dxfId="283" priority="284" operator="greaterThan">
      <formula>0</formula>
    </cfRule>
  </conditionalFormatting>
  <conditionalFormatting sqref="N128">
    <cfRule type="cellIs" dxfId="282" priority="283" operator="greaterThan">
      <formula>0</formula>
    </cfRule>
  </conditionalFormatting>
  <conditionalFormatting sqref="O128">
    <cfRule type="cellIs" dxfId="281" priority="282" operator="greaterThan">
      <formula>0</formula>
    </cfRule>
  </conditionalFormatting>
  <conditionalFormatting sqref="P128">
    <cfRule type="cellIs" dxfId="280" priority="281" operator="greaterThan">
      <formula>0</formula>
    </cfRule>
  </conditionalFormatting>
  <conditionalFormatting sqref="R128">
    <cfRule type="cellIs" dxfId="279" priority="280" operator="greaterThan">
      <formula>0</formula>
    </cfRule>
  </conditionalFormatting>
  <conditionalFormatting sqref="S128">
    <cfRule type="cellIs" dxfId="278" priority="279" operator="greaterThan">
      <formula>0</formula>
    </cfRule>
  </conditionalFormatting>
  <conditionalFormatting sqref="T128">
    <cfRule type="cellIs" dxfId="277" priority="278" operator="greaterThan">
      <formula>0</formula>
    </cfRule>
  </conditionalFormatting>
  <conditionalFormatting sqref="U128">
    <cfRule type="cellIs" dxfId="276" priority="277" operator="greaterThan">
      <formula>0</formula>
    </cfRule>
  </conditionalFormatting>
  <conditionalFormatting sqref="W123">
    <cfRule type="cellIs" dxfId="275" priority="275" operator="greaterThan">
      <formula>$D123</formula>
    </cfRule>
    <cfRule type="cellIs" dxfId="274" priority="276" operator="lessThan">
      <formula>$D123</formula>
    </cfRule>
  </conditionalFormatting>
  <conditionalFormatting sqref="I123:K123">
    <cfRule type="cellIs" dxfId="273" priority="273" operator="lessThan">
      <formula>0</formula>
    </cfRule>
    <cfRule type="cellIs" dxfId="272" priority="274" operator="greaterThan">
      <formula>0</formula>
    </cfRule>
  </conditionalFormatting>
  <conditionalFormatting sqref="F123">
    <cfRule type="cellIs" dxfId="271" priority="271" operator="greaterThan">
      <formula>0</formula>
    </cfRule>
    <cfRule type="cellIs" dxfId="270" priority="272" operator="lessThan">
      <formula>0</formula>
    </cfRule>
  </conditionalFormatting>
  <conditionalFormatting sqref="Y123">
    <cfRule type="cellIs" dxfId="269" priority="269" operator="lessThan">
      <formula>40</formula>
    </cfRule>
    <cfRule type="cellIs" dxfId="268" priority="270" operator="lessThan">
      <formula>40</formula>
    </cfRule>
  </conditionalFormatting>
  <conditionalFormatting sqref="M123">
    <cfRule type="cellIs" dxfId="267" priority="268" operator="greaterThan">
      <formula>0</formula>
    </cfRule>
  </conditionalFormatting>
  <conditionalFormatting sqref="N123">
    <cfRule type="cellIs" dxfId="266" priority="267" operator="greaterThan">
      <formula>0</formula>
    </cfRule>
  </conditionalFormatting>
  <conditionalFormatting sqref="O123">
    <cfRule type="cellIs" dxfId="265" priority="266" operator="greaterThan">
      <formula>0</formula>
    </cfRule>
  </conditionalFormatting>
  <conditionalFormatting sqref="P123">
    <cfRule type="cellIs" dxfId="264" priority="265" operator="greaterThan">
      <formula>0</formula>
    </cfRule>
  </conditionalFormatting>
  <conditionalFormatting sqref="R123">
    <cfRule type="cellIs" dxfId="263" priority="264" operator="greaterThan">
      <formula>0</formula>
    </cfRule>
  </conditionalFormatting>
  <conditionalFormatting sqref="S123">
    <cfRule type="cellIs" dxfId="262" priority="263" operator="greaterThan">
      <formula>0</formula>
    </cfRule>
  </conditionalFormatting>
  <conditionalFormatting sqref="T123">
    <cfRule type="cellIs" dxfId="261" priority="262" operator="greaterThan">
      <formula>0</formula>
    </cfRule>
  </conditionalFormatting>
  <conditionalFormatting sqref="U123">
    <cfRule type="cellIs" dxfId="260" priority="261" operator="greaterThan">
      <formula>0</formula>
    </cfRule>
  </conditionalFormatting>
  <conditionalFormatting sqref="W120">
    <cfRule type="cellIs" dxfId="259" priority="259" operator="greaterThan">
      <formula>$D120</formula>
    </cfRule>
    <cfRule type="cellIs" dxfId="258" priority="260" operator="lessThan">
      <formula>$D120</formula>
    </cfRule>
  </conditionalFormatting>
  <conditionalFormatting sqref="I120:K120">
    <cfRule type="cellIs" dxfId="257" priority="257" operator="lessThan">
      <formula>0</formula>
    </cfRule>
    <cfRule type="cellIs" dxfId="256" priority="258" operator="greaterThan">
      <formula>0</formula>
    </cfRule>
  </conditionalFormatting>
  <conditionalFormatting sqref="F120">
    <cfRule type="cellIs" dxfId="255" priority="255" operator="greaterThan">
      <formula>0</formula>
    </cfRule>
    <cfRule type="cellIs" dxfId="254" priority="256" operator="lessThan">
      <formula>0</formula>
    </cfRule>
  </conditionalFormatting>
  <conditionalFormatting sqref="Y120">
    <cfRule type="cellIs" dxfId="253" priority="253" operator="lessThan">
      <formula>40</formula>
    </cfRule>
    <cfRule type="cellIs" dxfId="252" priority="254" operator="lessThan">
      <formula>40</formula>
    </cfRule>
  </conditionalFormatting>
  <conditionalFormatting sqref="M120">
    <cfRule type="cellIs" dxfId="251" priority="252" operator="greaterThan">
      <formula>0</formula>
    </cfRule>
  </conditionalFormatting>
  <conditionalFormatting sqref="N120">
    <cfRule type="cellIs" dxfId="250" priority="251" operator="greaterThan">
      <formula>0</formula>
    </cfRule>
  </conditionalFormatting>
  <conditionalFormatting sqref="O120">
    <cfRule type="cellIs" dxfId="249" priority="250" operator="greaterThan">
      <formula>0</formula>
    </cfRule>
  </conditionalFormatting>
  <conditionalFormatting sqref="P120">
    <cfRule type="cellIs" dxfId="248" priority="249" operator="greaterThan">
      <formula>0</formula>
    </cfRule>
  </conditionalFormatting>
  <conditionalFormatting sqref="R120">
    <cfRule type="cellIs" dxfId="247" priority="248" operator="greaterThan">
      <formula>0</formula>
    </cfRule>
  </conditionalFormatting>
  <conditionalFormatting sqref="S120">
    <cfRule type="cellIs" dxfId="246" priority="247" operator="greaterThan">
      <formula>0</formula>
    </cfRule>
  </conditionalFormatting>
  <conditionalFormatting sqref="T120">
    <cfRule type="cellIs" dxfId="245" priority="246" operator="greaterThan">
      <formula>0</formula>
    </cfRule>
  </conditionalFormatting>
  <conditionalFormatting sqref="U120">
    <cfRule type="cellIs" dxfId="244" priority="245" operator="greaterThan">
      <formula>0</formula>
    </cfRule>
  </conditionalFormatting>
  <conditionalFormatting sqref="F20 I20:K20">
    <cfRule type="cellIs" dxfId="243" priority="241" operator="lessThan">
      <formula>0</formula>
    </cfRule>
    <cfRule type="cellIs" dxfId="242" priority="242" operator="lessThan">
      <formula>0</formula>
    </cfRule>
    <cfRule type="cellIs" dxfId="241" priority="243" operator="greaterThan">
      <formula>0</formula>
    </cfRule>
    <cfRule type="cellIs" dxfId="240" priority="244" operator="greaterThan">
      <formula>0</formula>
    </cfRule>
  </conditionalFormatting>
  <conditionalFormatting sqref="F20">
    <cfRule type="cellIs" dxfId="239" priority="239" operator="greaterThan">
      <formula>0</formula>
    </cfRule>
    <cfRule type="cellIs" dxfId="238" priority="240" operator="lessThan">
      <formula>0</formula>
    </cfRule>
  </conditionalFormatting>
  <conditionalFormatting sqref="I20:K20">
    <cfRule type="cellIs" dxfId="237" priority="237" operator="lessThan">
      <formula>0</formula>
    </cfRule>
    <cfRule type="cellIs" dxfId="236" priority="238" operator="greaterThan">
      <formula>0</formula>
    </cfRule>
  </conditionalFormatting>
  <conditionalFormatting sqref="M20 R20">
    <cfRule type="cellIs" dxfId="235" priority="236" operator="greaterThan">
      <formula>0</formula>
    </cfRule>
  </conditionalFormatting>
  <conditionalFormatting sqref="N20 S20">
    <cfRule type="cellIs" dxfId="234" priority="235" operator="greaterThan">
      <formula>0</formula>
    </cfRule>
  </conditionalFormatting>
  <conditionalFormatting sqref="O20 T20">
    <cfRule type="cellIs" dxfId="233" priority="234" operator="greaterThan">
      <formula>0</formula>
    </cfRule>
  </conditionalFormatting>
  <conditionalFormatting sqref="P20 U20">
    <cfRule type="cellIs" dxfId="232" priority="233" operator="greaterThan">
      <formula>0</formula>
    </cfRule>
  </conditionalFormatting>
  <conditionalFormatting sqref="W52">
    <cfRule type="cellIs" dxfId="231" priority="231" operator="greaterThan">
      <formula>$D52</formula>
    </cfRule>
    <cfRule type="cellIs" dxfId="230" priority="232" operator="lessThan">
      <formula>$D52</formula>
    </cfRule>
  </conditionalFormatting>
  <conditionalFormatting sqref="I52:K52">
    <cfRule type="cellIs" dxfId="229" priority="229" operator="lessThan">
      <formula>0</formula>
    </cfRule>
    <cfRule type="cellIs" dxfId="228" priority="230" operator="greaterThan">
      <formula>0</formula>
    </cfRule>
  </conditionalFormatting>
  <conditionalFormatting sqref="F52">
    <cfRule type="cellIs" dxfId="227" priority="227" operator="greaterThan">
      <formula>0</formula>
    </cfRule>
    <cfRule type="cellIs" dxfId="226" priority="228" operator="lessThan">
      <formula>0</formula>
    </cfRule>
  </conditionalFormatting>
  <conditionalFormatting sqref="Y52">
    <cfRule type="cellIs" dxfId="225" priority="225" operator="lessThan">
      <formula>40</formula>
    </cfRule>
    <cfRule type="cellIs" dxfId="224" priority="226" operator="lessThan">
      <formula>40</formula>
    </cfRule>
  </conditionalFormatting>
  <conditionalFormatting sqref="M52 R52">
    <cfRule type="cellIs" dxfId="223" priority="224" operator="greaterThan">
      <formula>0</formula>
    </cfRule>
  </conditionalFormatting>
  <conditionalFormatting sqref="N52 S52">
    <cfRule type="cellIs" dxfId="222" priority="223" operator="greaterThan">
      <formula>0</formula>
    </cfRule>
  </conditionalFormatting>
  <conditionalFormatting sqref="O52 T52">
    <cfRule type="cellIs" dxfId="221" priority="222" operator="greaterThan">
      <formula>0</formula>
    </cfRule>
  </conditionalFormatting>
  <conditionalFormatting sqref="P52 U52">
    <cfRule type="cellIs" dxfId="220" priority="221" operator="greaterThan">
      <formula>0</formula>
    </cfRule>
  </conditionalFormatting>
  <conditionalFormatting sqref="I116:K116">
    <cfRule type="cellIs" dxfId="219" priority="219" operator="lessThan">
      <formula>0</formula>
    </cfRule>
    <cfRule type="cellIs" dxfId="218" priority="220" operator="greaterThan">
      <formula>0</formula>
    </cfRule>
  </conditionalFormatting>
  <conditionalFormatting sqref="F116">
    <cfRule type="cellIs" dxfId="217" priority="217" operator="greaterThan">
      <formula>0</formula>
    </cfRule>
    <cfRule type="cellIs" dxfId="216" priority="218" operator="lessThan">
      <formula>0</formula>
    </cfRule>
  </conditionalFormatting>
  <conditionalFormatting sqref="M116">
    <cfRule type="cellIs" dxfId="215" priority="216" operator="greaterThan">
      <formula>0</formula>
    </cfRule>
  </conditionalFormatting>
  <conditionalFormatting sqref="N116">
    <cfRule type="cellIs" dxfId="214" priority="215" operator="greaterThan">
      <formula>0</formula>
    </cfRule>
  </conditionalFormatting>
  <conditionalFormatting sqref="O116">
    <cfRule type="cellIs" dxfId="213" priority="214" operator="greaterThan">
      <formula>0</formula>
    </cfRule>
  </conditionalFormatting>
  <conditionalFormatting sqref="P116">
    <cfRule type="cellIs" dxfId="212" priority="213" operator="greaterThan">
      <formula>0</formula>
    </cfRule>
  </conditionalFormatting>
  <conditionalFormatting sqref="R116">
    <cfRule type="cellIs" dxfId="211" priority="212" operator="greaterThan">
      <formula>0</formula>
    </cfRule>
  </conditionalFormatting>
  <conditionalFormatting sqref="S116">
    <cfRule type="cellIs" dxfId="210" priority="211" operator="greaterThan">
      <formula>0</formula>
    </cfRule>
  </conditionalFormatting>
  <conditionalFormatting sqref="T116">
    <cfRule type="cellIs" dxfId="209" priority="210" operator="greaterThan">
      <formula>0</formula>
    </cfRule>
  </conditionalFormatting>
  <conditionalFormatting sqref="U116">
    <cfRule type="cellIs" dxfId="208" priority="209" operator="greaterThan">
      <formula>0</formula>
    </cfRule>
  </conditionalFormatting>
  <conditionalFormatting sqref="W116">
    <cfRule type="cellIs" dxfId="207" priority="207" operator="greaterThan">
      <formula>$D116</formula>
    </cfRule>
    <cfRule type="cellIs" dxfId="206" priority="208" operator="lessThan">
      <formula>$D116</formula>
    </cfRule>
  </conditionalFormatting>
  <conditionalFormatting sqref="Y116">
    <cfRule type="cellIs" dxfId="205" priority="205" operator="lessThan">
      <formula>40</formula>
    </cfRule>
    <cfRule type="cellIs" dxfId="204" priority="206" operator="lessThan">
      <formula>40</formula>
    </cfRule>
  </conditionalFormatting>
  <conditionalFormatting sqref="V40:V45">
    <cfRule type="cellIs" dxfId="203" priority="203" operator="greaterThan">
      <formula>$D40</formula>
    </cfRule>
    <cfRule type="cellIs" dxfId="202" priority="204" operator="lessThan">
      <formula>$D40</formula>
    </cfRule>
  </conditionalFormatting>
  <conditionalFormatting sqref="V47:V49 V51:V53">
    <cfRule type="cellIs" dxfId="201" priority="201" operator="greaterThan">
      <formula>$D47</formula>
    </cfRule>
    <cfRule type="cellIs" dxfId="200" priority="202" operator="lessThan">
      <formula>$D47</formula>
    </cfRule>
  </conditionalFormatting>
  <conditionalFormatting sqref="V55:V61">
    <cfRule type="cellIs" dxfId="199" priority="199" operator="greaterThan">
      <formula>$D55</formula>
    </cfRule>
    <cfRule type="cellIs" dxfId="198" priority="200" operator="lessThan">
      <formula>$D55</formula>
    </cfRule>
  </conditionalFormatting>
  <conditionalFormatting sqref="V71:V74 V77">
    <cfRule type="cellIs" dxfId="197" priority="197" operator="greaterThan">
      <formula>$D71</formula>
    </cfRule>
    <cfRule type="cellIs" dxfId="196" priority="198" operator="lessThan">
      <formula>$D71</formula>
    </cfRule>
  </conditionalFormatting>
  <conditionalFormatting sqref="V79:V80 V82:V85">
    <cfRule type="cellIs" dxfId="195" priority="195" operator="greaterThan">
      <formula>$D79</formula>
    </cfRule>
    <cfRule type="cellIs" dxfId="194" priority="196" operator="lessThan">
      <formula>$D79</formula>
    </cfRule>
  </conditionalFormatting>
  <conditionalFormatting sqref="V87:V94">
    <cfRule type="cellIs" dxfId="193" priority="193" operator="greaterThan">
      <formula>$D87</formula>
    </cfRule>
    <cfRule type="cellIs" dxfId="192" priority="194" operator="lessThan">
      <formula>$D87</formula>
    </cfRule>
  </conditionalFormatting>
  <conditionalFormatting sqref="V111">
    <cfRule type="cellIs" dxfId="191" priority="191" operator="greaterThan">
      <formula>$D111</formula>
    </cfRule>
    <cfRule type="cellIs" dxfId="190" priority="192" operator="lessThan">
      <formula>$D111</formula>
    </cfRule>
  </conditionalFormatting>
  <conditionalFormatting sqref="V113:V126">
    <cfRule type="cellIs" dxfId="189" priority="189" operator="greaterThan">
      <formula>$D113</formula>
    </cfRule>
    <cfRule type="cellIs" dxfId="188" priority="190" operator="lessThan">
      <formula>$D113</formula>
    </cfRule>
  </conditionalFormatting>
  <conditionalFormatting sqref="V128:V130">
    <cfRule type="cellIs" dxfId="187" priority="187" operator="greaterThan">
      <formula>$D128</formula>
    </cfRule>
    <cfRule type="cellIs" dxfId="186" priority="188" operator="lessThan">
      <formula>$D128</formula>
    </cfRule>
  </conditionalFormatting>
  <conditionalFormatting sqref="W132">
    <cfRule type="cellIs" dxfId="185" priority="185" operator="greaterThan">
      <formula>$D132</formula>
    </cfRule>
    <cfRule type="cellIs" dxfId="184" priority="186" operator="lessThan">
      <formula>$D132</formula>
    </cfRule>
  </conditionalFormatting>
  <conditionalFormatting sqref="I132:K132">
    <cfRule type="cellIs" dxfId="183" priority="183" operator="lessThan">
      <formula>0</formula>
    </cfRule>
    <cfRule type="cellIs" dxfId="182" priority="184" operator="greaterThan">
      <formula>0</formula>
    </cfRule>
  </conditionalFormatting>
  <conditionalFormatting sqref="F132">
    <cfRule type="cellIs" dxfId="181" priority="181" operator="greaterThan">
      <formula>0</formula>
    </cfRule>
    <cfRule type="cellIs" dxfId="180" priority="182" operator="lessThan">
      <formula>0</formula>
    </cfRule>
  </conditionalFormatting>
  <conditionalFormatting sqref="Y132">
    <cfRule type="cellIs" dxfId="179" priority="179" operator="lessThan">
      <formula>40</formula>
    </cfRule>
    <cfRule type="cellIs" dxfId="178" priority="180" operator="lessThan">
      <formula>40</formula>
    </cfRule>
  </conditionalFormatting>
  <conditionalFormatting sqref="M132">
    <cfRule type="cellIs" dxfId="177" priority="178" operator="greaterThan">
      <formula>0</formula>
    </cfRule>
  </conditionalFormatting>
  <conditionalFormatting sqref="N132">
    <cfRule type="cellIs" dxfId="176" priority="177" operator="greaterThan">
      <formula>0</formula>
    </cfRule>
  </conditionalFormatting>
  <conditionalFormatting sqref="O132">
    <cfRule type="cellIs" dxfId="175" priority="176" operator="greaterThan">
      <formula>0</formula>
    </cfRule>
  </conditionalFormatting>
  <conditionalFormatting sqref="P132">
    <cfRule type="cellIs" dxfId="174" priority="175" operator="greaterThan">
      <formula>0</formula>
    </cfRule>
  </conditionalFormatting>
  <conditionalFormatting sqref="R132">
    <cfRule type="cellIs" dxfId="173" priority="174" operator="greaterThan">
      <formula>0</formula>
    </cfRule>
  </conditionalFormatting>
  <conditionalFormatting sqref="S132">
    <cfRule type="cellIs" dxfId="172" priority="173" operator="greaterThan">
      <formula>0</formula>
    </cfRule>
  </conditionalFormatting>
  <conditionalFormatting sqref="T132">
    <cfRule type="cellIs" dxfId="171" priority="172" operator="greaterThan">
      <formula>0</formula>
    </cfRule>
  </conditionalFormatting>
  <conditionalFormatting sqref="U132">
    <cfRule type="cellIs" dxfId="170" priority="171" operator="greaterThan">
      <formula>0</formula>
    </cfRule>
  </conditionalFormatting>
  <conditionalFormatting sqref="V132">
    <cfRule type="cellIs" dxfId="169" priority="169" operator="greaterThan">
      <formula>$D132</formula>
    </cfRule>
    <cfRule type="cellIs" dxfId="168" priority="170" operator="lessThan">
      <formula>$D132</formula>
    </cfRule>
  </conditionalFormatting>
  <conditionalFormatting sqref="W75">
    <cfRule type="cellIs" dxfId="167" priority="167" operator="greaterThan">
      <formula>$D75</formula>
    </cfRule>
    <cfRule type="cellIs" dxfId="166" priority="168" operator="lessThan">
      <formula>$D75</formula>
    </cfRule>
  </conditionalFormatting>
  <conditionalFormatting sqref="M75 R75">
    <cfRule type="cellIs" dxfId="165" priority="166" operator="greaterThan">
      <formula>0</formula>
    </cfRule>
  </conditionalFormatting>
  <conditionalFormatting sqref="N75 S75">
    <cfRule type="cellIs" dxfId="164" priority="165" operator="greaterThan">
      <formula>0</formula>
    </cfRule>
  </conditionalFormatting>
  <conditionalFormatting sqref="O75 T75">
    <cfRule type="cellIs" dxfId="163" priority="164" operator="greaterThan">
      <formula>0</formula>
    </cfRule>
  </conditionalFormatting>
  <conditionalFormatting sqref="P75 U75">
    <cfRule type="cellIs" dxfId="162" priority="163" operator="greaterThan">
      <formula>0</formula>
    </cfRule>
  </conditionalFormatting>
  <conditionalFormatting sqref="F75">
    <cfRule type="cellIs" dxfId="161" priority="161" operator="greaterThan">
      <formula>0</formula>
    </cfRule>
    <cfRule type="cellIs" dxfId="160" priority="162" operator="lessThan">
      <formula>0</formula>
    </cfRule>
  </conditionalFormatting>
  <conditionalFormatting sqref="I75:K75">
    <cfRule type="cellIs" dxfId="159" priority="159" operator="lessThan">
      <formula>0</formula>
    </cfRule>
    <cfRule type="cellIs" dxfId="158" priority="160" operator="greaterThan">
      <formula>0</formula>
    </cfRule>
  </conditionalFormatting>
  <conditionalFormatting sqref="Y75">
    <cfRule type="cellIs" dxfId="157" priority="157" operator="lessThan">
      <formula>40</formula>
    </cfRule>
    <cfRule type="cellIs" dxfId="156" priority="158" operator="lessThan">
      <formula>40</formula>
    </cfRule>
  </conditionalFormatting>
  <conditionalFormatting sqref="V75">
    <cfRule type="cellIs" dxfId="155" priority="155" operator="greaterThan">
      <formula>$D75</formula>
    </cfRule>
    <cfRule type="cellIs" dxfId="154" priority="156" operator="lessThan">
      <formula>$D75</formula>
    </cfRule>
  </conditionalFormatting>
  <conditionalFormatting sqref="I81:K81">
    <cfRule type="cellIs" dxfId="153" priority="143" operator="lessThan">
      <formula>0</formula>
    </cfRule>
    <cfRule type="cellIs" dxfId="152" priority="144" operator="greaterThan">
      <formula>0</formula>
    </cfRule>
  </conditionalFormatting>
  <conditionalFormatting sqref="R81 M81">
    <cfRule type="cellIs" dxfId="151" priority="150" operator="greaterThan">
      <formula>0</formula>
    </cfRule>
  </conditionalFormatting>
  <conditionalFormatting sqref="S81 N81">
    <cfRule type="cellIs" dxfId="150" priority="149" operator="greaterThan">
      <formula>0</formula>
    </cfRule>
  </conditionalFormatting>
  <conditionalFormatting sqref="T81 O81">
    <cfRule type="cellIs" dxfId="149" priority="148" operator="greaterThan">
      <formula>0</formula>
    </cfRule>
  </conditionalFormatting>
  <conditionalFormatting sqref="U81 P81">
    <cfRule type="cellIs" dxfId="148" priority="147" operator="greaterThan">
      <formula>0</formula>
    </cfRule>
  </conditionalFormatting>
  <conditionalFormatting sqref="W81">
    <cfRule type="cellIs" dxfId="147" priority="153" operator="greaterThan">
      <formula>$D81</formula>
    </cfRule>
    <cfRule type="cellIs" dxfId="146" priority="154" operator="lessThan">
      <formula>$D81</formula>
    </cfRule>
  </conditionalFormatting>
  <conditionalFormatting sqref="Y81">
    <cfRule type="cellIs" dxfId="145" priority="151" operator="lessThan">
      <formula>40</formula>
    </cfRule>
    <cfRule type="cellIs" dxfId="144" priority="152" operator="lessThan">
      <formula>40</formula>
    </cfRule>
  </conditionalFormatting>
  <conditionalFormatting sqref="F81">
    <cfRule type="cellIs" dxfId="143" priority="145" operator="greaterThan">
      <formula>0</formula>
    </cfRule>
    <cfRule type="cellIs" dxfId="142" priority="146" operator="lessThan">
      <formula>0</formula>
    </cfRule>
  </conditionalFormatting>
  <conditionalFormatting sqref="V81">
    <cfRule type="cellIs" dxfId="141" priority="141" operator="greaterThan">
      <formula>$D81</formula>
    </cfRule>
    <cfRule type="cellIs" dxfId="140" priority="142" operator="lessThan">
      <formula>$D81</formula>
    </cfRule>
  </conditionalFormatting>
  <conditionalFormatting sqref="I95:K95">
    <cfRule type="cellIs" dxfId="139" priority="139" operator="lessThan">
      <formula>0</formula>
    </cfRule>
    <cfRule type="cellIs" dxfId="138" priority="140" operator="greaterThan">
      <formula>0</formula>
    </cfRule>
  </conditionalFormatting>
  <conditionalFormatting sqref="F95">
    <cfRule type="cellIs" dxfId="137" priority="137" operator="greaterThan">
      <formula>0</formula>
    </cfRule>
    <cfRule type="cellIs" dxfId="136" priority="138" operator="lessThan">
      <formula>0</formula>
    </cfRule>
  </conditionalFormatting>
  <conditionalFormatting sqref="M95">
    <cfRule type="cellIs" dxfId="135" priority="136" operator="greaterThan">
      <formula>0</formula>
    </cfRule>
  </conditionalFormatting>
  <conditionalFormatting sqref="N95">
    <cfRule type="cellIs" dxfId="134" priority="135" operator="greaterThan">
      <formula>0</formula>
    </cfRule>
  </conditionalFormatting>
  <conditionalFormatting sqref="O95">
    <cfRule type="cellIs" dxfId="133" priority="134" operator="greaterThan">
      <formula>0</formula>
    </cfRule>
  </conditionalFormatting>
  <conditionalFormatting sqref="P95">
    <cfRule type="cellIs" dxfId="132" priority="133" operator="greaterThan">
      <formula>0</formula>
    </cfRule>
  </conditionalFormatting>
  <conditionalFormatting sqref="Y95">
    <cfRule type="cellIs" dxfId="131" priority="131" operator="lessThan">
      <formula>40</formula>
    </cfRule>
    <cfRule type="cellIs" dxfId="130" priority="132" operator="lessThan">
      <formula>40</formula>
    </cfRule>
  </conditionalFormatting>
  <conditionalFormatting sqref="R95">
    <cfRule type="cellIs" dxfId="129" priority="130" operator="greaterThan">
      <formula>0</formula>
    </cfRule>
  </conditionalFormatting>
  <conditionalFormatting sqref="S95">
    <cfRule type="cellIs" dxfId="128" priority="129" operator="greaterThan">
      <formula>0</formula>
    </cfRule>
  </conditionalFormatting>
  <conditionalFormatting sqref="T95">
    <cfRule type="cellIs" dxfId="127" priority="128" operator="greaterThan">
      <formula>0</formula>
    </cfRule>
  </conditionalFormatting>
  <conditionalFormatting sqref="U95">
    <cfRule type="cellIs" dxfId="126" priority="127" operator="greaterThan">
      <formula>0</formula>
    </cfRule>
  </conditionalFormatting>
  <conditionalFormatting sqref="W95">
    <cfRule type="cellIs" dxfId="125" priority="125" operator="greaterThan">
      <formula>$D95</formula>
    </cfRule>
    <cfRule type="cellIs" dxfId="124" priority="126" operator="lessThan">
      <formula>$D95</formula>
    </cfRule>
  </conditionalFormatting>
  <conditionalFormatting sqref="V97:V99">
    <cfRule type="cellIs" dxfId="123" priority="123" operator="greaterThan">
      <formula>$D97</formula>
    </cfRule>
    <cfRule type="cellIs" dxfId="122" priority="124" operator="lessThan">
      <formula>$D97</formula>
    </cfRule>
  </conditionalFormatting>
  <conditionalFormatting sqref="I97:K97">
    <cfRule type="cellIs" dxfId="121" priority="121" operator="lessThan">
      <formula>0</formula>
    </cfRule>
    <cfRule type="cellIs" dxfId="120" priority="122" operator="greaterThan">
      <formula>0</formula>
    </cfRule>
  </conditionalFormatting>
  <conditionalFormatting sqref="F97">
    <cfRule type="cellIs" dxfId="119" priority="119" operator="greaterThan">
      <formula>0</formula>
    </cfRule>
    <cfRule type="cellIs" dxfId="118" priority="120" operator="lessThan">
      <formula>0</formula>
    </cfRule>
  </conditionalFormatting>
  <conditionalFormatting sqref="Y97">
    <cfRule type="cellIs" dxfId="117" priority="117" operator="lessThan">
      <formula>40</formula>
    </cfRule>
    <cfRule type="cellIs" dxfId="116" priority="118" operator="lessThan">
      <formula>40</formula>
    </cfRule>
  </conditionalFormatting>
  <conditionalFormatting sqref="M97">
    <cfRule type="cellIs" dxfId="115" priority="116" operator="greaterThan">
      <formula>0</formula>
    </cfRule>
  </conditionalFormatting>
  <conditionalFormatting sqref="N97">
    <cfRule type="cellIs" dxfId="114" priority="115" operator="greaterThan">
      <formula>0</formula>
    </cfRule>
  </conditionalFormatting>
  <conditionalFormatting sqref="O97">
    <cfRule type="cellIs" dxfId="113" priority="114" operator="greaterThan">
      <formula>0</formula>
    </cfRule>
  </conditionalFormatting>
  <conditionalFormatting sqref="P97">
    <cfRule type="cellIs" dxfId="112" priority="113" operator="greaterThan">
      <formula>0</formula>
    </cfRule>
  </conditionalFormatting>
  <conditionalFormatting sqref="R97">
    <cfRule type="cellIs" dxfId="111" priority="112" operator="greaterThan">
      <formula>0</formula>
    </cfRule>
  </conditionalFormatting>
  <conditionalFormatting sqref="S97">
    <cfRule type="cellIs" dxfId="110" priority="111" operator="greaterThan">
      <formula>0</formula>
    </cfRule>
  </conditionalFormatting>
  <conditionalFormatting sqref="T97">
    <cfRule type="cellIs" dxfId="109" priority="110" operator="greaterThan">
      <formula>0</formula>
    </cfRule>
  </conditionalFormatting>
  <conditionalFormatting sqref="U97">
    <cfRule type="cellIs" dxfId="108" priority="109" operator="greaterThan">
      <formula>0</formula>
    </cfRule>
  </conditionalFormatting>
  <conditionalFormatting sqref="W97">
    <cfRule type="cellIs" dxfId="107" priority="107" operator="greaterThan">
      <formula>$D97</formula>
    </cfRule>
    <cfRule type="cellIs" dxfId="106" priority="108" operator="lessThan">
      <formula>$D97</formula>
    </cfRule>
  </conditionalFormatting>
  <conditionalFormatting sqref="W98">
    <cfRule type="cellIs" dxfId="105" priority="105" operator="greaterThan">
      <formula>$D98</formula>
    </cfRule>
    <cfRule type="cellIs" dxfId="104" priority="106" operator="lessThan">
      <formula>$D98</formula>
    </cfRule>
  </conditionalFormatting>
  <conditionalFormatting sqref="Y98">
    <cfRule type="cellIs" dxfId="103" priority="103" operator="lessThan">
      <formula>40</formula>
    </cfRule>
    <cfRule type="cellIs" dxfId="102" priority="104" operator="lessThan">
      <formula>40</formula>
    </cfRule>
  </conditionalFormatting>
  <conditionalFormatting sqref="M98 R98">
    <cfRule type="cellIs" dxfId="101" priority="102" operator="greaterThan">
      <formula>0</formula>
    </cfRule>
  </conditionalFormatting>
  <conditionalFormatting sqref="N98 S98">
    <cfRule type="cellIs" dxfId="100" priority="101" operator="greaterThan">
      <formula>0</formula>
    </cfRule>
  </conditionalFormatting>
  <conditionalFormatting sqref="O98 T98">
    <cfRule type="cellIs" dxfId="99" priority="100" operator="greaterThan">
      <formula>0</formula>
    </cfRule>
  </conditionalFormatting>
  <conditionalFormatting sqref="P98 U98">
    <cfRule type="cellIs" dxfId="98" priority="99" operator="greaterThan">
      <formula>0</formula>
    </cfRule>
  </conditionalFormatting>
  <conditionalFormatting sqref="F98">
    <cfRule type="cellIs" dxfId="97" priority="97" operator="greaterThan">
      <formula>0</formula>
    </cfRule>
    <cfRule type="cellIs" dxfId="96" priority="98" operator="lessThan">
      <formula>0</formula>
    </cfRule>
  </conditionalFormatting>
  <conditionalFormatting sqref="I98:K98">
    <cfRule type="cellIs" dxfId="95" priority="95" operator="lessThan">
      <formula>0</formula>
    </cfRule>
    <cfRule type="cellIs" dxfId="94" priority="96" operator="greaterThan">
      <formula>0</formula>
    </cfRule>
  </conditionalFormatting>
  <conditionalFormatting sqref="W99">
    <cfRule type="cellIs" dxfId="93" priority="93" operator="greaterThan">
      <formula>$D99</formula>
    </cfRule>
    <cfRule type="cellIs" dxfId="92" priority="94" operator="lessThan">
      <formula>$D99</formula>
    </cfRule>
  </conditionalFormatting>
  <conditionalFormatting sqref="M99 R99">
    <cfRule type="cellIs" dxfId="91" priority="92" operator="greaterThan">
      <formula>0</formula>
    </cfRule>
  </conditionalFormatting>
  <conditionalFormatting sqref="N99 S99">
    <cfRule type="cellIs" dxfId="90" priority="91" operator="greaterThan">
      <formula>0</formula>
    </cfRule>
  </conditionalFormatting>
  <conditionalFormatting sqref="O99 T99">
    <cfRule type="cellIs" dxfId="89" priority="90" operator="greaterThan">
      <formula>0</formula>
    </cfRule>
  </conditionalFormatting>
  <conditionalFormatting sqref="P99 U99">
    <cfRule type="cellIs" dxfId="88" priority="89" operator="greaterThan">
      <formula>0</formula>
    </cfRule>
  </conditionalFormatting>
  <conditionalFormatting sqref="F99">
    <cfRule type="cellIs" dxfId="87" priority="87" operator="greaterThan">
      <formula>0</formula>
    </cfRule>
    <cfRule type="cellIs" dxfId="86" priority="88" operator="lessThan">
      <formula>0</formula>
    </cfRule>
  </conditionalFormatting>
  <conditionalFormatting sqref="I99:K99">
    <cfRule type="cellIs" dxfId="85" priority="85" operator="lessThan">
      <formula>0</formula>
    </cfRule>
    <cfRule type="cellIs" dxfId="84" priority="86" operator="greaterThan">
      <formula>0</formula>
    </cfRule>
  </conditionalFormatting>
  <conditionalFormatting sqref="Y99">
    <cfRule type="cellIs" dxfId="83" priority="83" operator="lessThan">
      <formula>40</formula>
    </cfRule>
    <cfRule type="cellIs" dxfId="82" priority="84" operator="lessThan">
      <formula>40</formula>
    </cfRule>
  </conditionalFormatting>
  <conditionalFormatting sqref="W96">
    <cfRule type="cellIs" dxfId="81" priority="81" operator="greaterThan">
      <formula>$D96</formula>
    </cfRule>
    <cfRule type="cellIs" dxfId="80" priority="82" operator="lessThan">
      <formula>$D96</formula>
    </cfRule>
  </conditionalFormatting>
  <conditionalFormatting sqref="I96:K96">
    <cfRule type="cellIs" dxfId="79" priority="79" operator="lessThan">
      <formula>0</formula>
    </cfRule>
    <cfRule type="cellIs" dxfId="78" priority="80" operator="greaterThan">
      <formula>0</formula>
    </cfRule>
  </conditionalFormatting>
  <conditionalFormatting sqref="F96">
    <cfRule type="cellIs" dxfId="77" priority="77" operator="greaterThan">
      <formula>0</formula>
    </cfRule>
    <cfRule type="cellIs" dxfId="76" priority="78" operator="lessThan">
      <formula>0</formula>
    </cfRule>
  </conditionalFormatting>
  <conditionalFormatting sqref="Y96">
    <cfRule type="cellIs" dxfId="75" priority="75" operator="lessThan">
      <formula>40</formula>
    </cfRule>
    <cfRule type="cellIs" dxfId="74" priority="76" operator="lessThan">
      <formula>40</formula>
    </cfRule>
  </conditionalFormatting>
  <conditionalFormatting sqref="M96">
    <cfRule type="cellIs" dxfId="73" priority="74" operator="greaterThan">
      <formula>0</formula>
    </cfRule>
  </conditionalFormatting>
  <conditionalFormatting sqref="N96">
    <cfRule type="cellIs" dxfId="72" priority="73" operator="greaterThan">
      <formula>0</formula>
    </cfRule>
  </conditionalFormatting>
  <conditionalFormatting sqref="O96">
    <cfRule type="cellIs" dxfId="71" priority="72" operator="greaterThan">
      <formula>0</formula>
    </cfRule>
  </conditionalFormatting>
  <conditionalFormatting sqref="P96">
    <cfRule type="cellIs" dxfId="70" priority="71" operator="greaterThan">
      <formula>0</formula>
    </cfRule>
  </conditionalFormatting>
  <conditionalFormatting sqref="R96">
    <cfRule type="cellIs" dxfId="69" priority="70" operator="greaterThan">
      <formula>0</formula>
    </cfRule>
  </conditionalFormatting>
  <conditionalFormatting sqref="S96">
    <cfRule type="cellIs" dxfId="68" priority="69" operator="greaterThan">
      <formula>0</formula>
    </cfRule>
  </conditionalFormatting>
  <conditionalFormatting sqref="T96">
    <cfRule type="cellIs" dxfId="67" priority="68" operator="greaterThan">
      <formula>0</formula>
    </cfRule>
  </conditionalFormatting>
  <conditionalFormatting sqref="U96">
    <cfRule type="cellIs" dxfId="66" priority="67" operator="greaterThan">
      <formula>0</formula>
    </cfRule>
  </conditionalFormatting>
  <conditionalFormatting sqref="V96">
    <cfRule type="cellIs" dxfId="65" priority="65" operator="greaterThan">
      <formula>$D96</formula>
    </cfRule>
    <cfRule type="cellIs" dxfId="64" priority="66" operator="lessThan">
      <formula>$D96</formula>
    </cfRule>
  </conditionalFormatting>
  <conditionalFormatting sqref="W50">
    <cfRule type="cellIs" dxfId="63" priority="63" operator="greaterThan">
      <formula>$D50</formula>
    </cfRule>
    <cfRule type="cellIs" dxfId="62" priority="64" operator="lessThan">
      <formula>$D50</formula>
    </cfRule>
  </conditionalFormatting>
  <conditionalFormatting sqref="I50:K50">
    <cfRule type="cellIs" dxfId="61" priority="61" operator="lessThan">
      <formula>0</formula>
    </cfRule>
    <cfRule type="cellIs" dxfId="60" priority="62" operator="greaterThan">
      <formula>0</formula>
    </cfRule>
  </conditionalFormatting>
  <conditionalFormatting sqref="F50">
    <cfRule type="cellIs" dxfId="59" priority="59" operator="greaterThan">
      <formula>0</formula>
    </cfRule>
    <cfRule type="cellIs" dxfId="58" priority="60" operator="lessThan">
      <formula>0</formula>
    </cfRule>
  </conditionalFormatting>
  <conditionalFormatting sqref="Y50">
    <cfRule type="cellIs" dxfId="57" priority="57" operator="lessThan">
      <formula>40</formula>
    </cfRule>
    <cfRule type="cellIs" dxfId="56" priority="58" operator="lessThan">
      <formula>40</formula>
    </cfRule>
  </conditionalFormatting>
  <conditionalFormatting sqref="R50 M50">
    <cfRule type="cellIs" dxfId="55" priority="56" operator="greaterThan">
      <formula>0</formula>
    </cfRule>
  </conditionalFormatting>
  <conditionalFormatting sqref="S50 N50">
    <cfRule type="cellIs" dxfId="54" priority="55" operator="greaterThan">
      <formula>0</formula>
    </cfRule>
  </conditionalFormatting>
  <conditionalFormatting sqref="T50 O50">
    <cfRule type="cellIs" dxfId="53" priority="54" operator="greaterThan">
      <formula>0</formula>
    </cfRule>
  </conditionalFormatting>
  <conditionalFormatting sqref="U50 P50">
    <cfRule type="cellIs" dxfId="52" priority="53" operator="greaterThan">
      <formula>0</formula>
    </cfRule>
  </conditionalFormatting>
  <conditionalFormatting sqref="V50">
    <cfRule type="cellIs" dxfId="51" priority="51" operator="greaterThan">
      <formula>$D50</formula>
    </cfRule>
    <cfRule type="cellIs" dxfId="50" priority="52" operator="lessThan">
      <formula>$D50</formula>
    </cfRule>
  </conditionalFormatting>
  <conditionalFormatting sqref="F110">
    <cfRule type="cellIs" dxfId="49" priority="49" operator="greaterThan">
      <formula>0</formula>
    </cfRule>
    <cfRule type="cellIs" dxfId="48" priority="50" operator="lessThan">
      <formula>0</formula>
    </cfRule>
  </conditionalFormatting>
  <conditionalFormatting sqref="I110:K110">
    <cfRule type="cellIs" dxfId="47" priority="47" operator="lessThan">
      <formula>0</formula>
    </cfRule>
    <cfRule type="cellIs" dxfId="46" priority="48" operator="greaterThan">
      <formula>0</formula>
    </cfRule>
  </conditionalFormatting>
  <conditionalFormatting sqref="Y110">
    <cfRule type="cellIs" dxfId="45" priority="45" operator="lessThan">
      <formula>40</formula>
    </cfRule>
    <cfRule type="cellIs" dxfId="44" priority="46" operator="lessThan">
      <formula>40</formula>
    </cfRule>
  </conditionalFormatting>
  <conditionalFormatting sqref="M110">
    <cfRule type="cellIs" dxfId="43" priority="44" operator="greaterThan">
      <formula>0</formula>
    </cfRule>
  </conditionalFormatting>
  <conditionalFormatting sqref="N110">
    <cfRule type="cellIs" dxfId="42" priority="43" operator="greaterThan">
      <formula>0</formula>
    </cfRule>
  </conditionalFormatting>
  <conditionalFormatting sqref="O110">
    <cfRule type="cellIs" dxfId="41" priority="42" operator="greaterThan">
      <formula>0</formula>
    </cfRule>
  </conditionalFormatting>
  <conditionalFormatting sqref="P110">
    <cfRule type="cellIs" dxfId="40" priority="41" operator="greaterThan">
      <formula>0</formula>
    </cfRule>
  </conditionalFormatting>
  <conditionalFormatting sqref="R110">
    <cfRule type="cellIs" dxfId="39" priority="40" operator="greaterThan">
      <formula>0</formula>
    </cfRule>
  </conditionalFormatting>
  <conditionalFormatting sqref="S110">
    <cfRule type="cellIs" dxfId="38" priority="39" operator="greaterThan">
      <formula>0</formula>
    </cfRule>
  </conditionalFormatting>
  <conditionalFormatting sqref="T110">
    <cfRule type="cellIs" dxfId="37" priority="38" operator="greaterThan">
      <formula>0</formula>
    </cfRule>
  </conditionalFormatting>
  <conditionalFormatting sqref="U110">
    <cfRule type="cellIs" dxfId="36" priority="37" operator="greaterThan">
      <formula>0</formula>
    </cfRule>
  </conditionalFormatting>
  <conditionalFormatting sqref="W110">
    <cfRule type="cellIs" dxfId="35" priority="35" operator="greaterThan">
      <formula>$D110</formula>
    </cfRule>
    <cfRule type="cellIs" dxfId="34" priority="36" operator="lessThan">
      <formula>$D110</formula>
    </cfRule>
  </conditionalFormatting>
  <conditionalFormatting sqref="V110">
    <cfRule type="cellIs" dxfId="33" priority="33" operator="greaterThan">
      <formula>$D110</formula>
    </cfRule>
    <cfRule type="cellIs" dxfId="32" priority="34" operator="lessThan">
      <formula>$D110</formula>
    </cfRule>
  </conditionalFormatting>
  <conditionalFormatting sqref="W76">
    <cfRule type="cellIs" dxfId="31" priority="31" operator="greaterThan">
      <formula>$D76</formula>
    </cfRule>
    <cfRule type="cellIs" dxfId="30" priority="32" operator="lessThan">
      <formula>$D76</formula>
    </cfRule>
  </conditionalFormatting>
  <conditionalFormatting sqref="M76 R76">
    <cfRule type="cellIs" dxfId="29" priority="30" operator="greaterThan">
      <formula>0</formula>
    </cfRule>
  </conditionalFormatting>
  <conditionalFormatting sqref="N76 S76">
    <cfRule type="cellIs" dxfId="28" priority="29" operator="greaterThan">
      <formula>0</formula>
    </cfRule>
  </conditionalFormatting>
  <conditionalFormatting sqref="O76 T76">
    <cfRule type="cellIs" dxfId="27" priority="28" operator="greaterThan">
      <formula>0</formula>
    </cfRule>
  </conditionalFormatting>
  <conditionalFormatting sqref="P76 U76">
    <cfRule type="cellIs" dxfId="26" priority="27" operator="greaterThan">
      <formula>0</formula>
    </cfRule>
  </conditionalFormatting>
  <conditionalFormatting sqref="F76">
    <cfRule type="cellIs" dxfId="25" priority="25" operator="greaterThan">
      <formula>0</formula>
    </cfRule>
    <cfRule type="cellIs" dxfId="24" priority="26" operator="lessThan">
      <formula>0</formula>
    </cfRule>
  </conditionalFormatting>
  <conditionalFormatting sqref="I76:K76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Y76">
    <cfRule type="cellIs" dxfId="21" priority="21" operator="lessThan">
      <formula>40</formula>
    </cfRule>
    <cfRule type="cellIs" dxfId="20" priority="22" operator="lessThan">
      <formula>40</formula>
    </cfRule>
  </conditionalFormatting>
  <conditionalFormatting sqref="V76">
    <cfRule type="cellIs" dxfId="19" priority="19" operator="greaterThan">
      <formula>$D76</formula>
    </cfRule>
    <cfRule type="cellIs" dxfId="18" priority="20" operator="lessThan">
      <formula>$D76</formula>
    </cfRule>
  </conditionalFormatting>
  <conditionalFormatting sqref="R137 M137">
    <cfRule type="cellIs" dxfId="17" priority="18" operator="greaterThan">
      <formula>0</formula>
    </cfRule>
  </conditionalFormatting>
  <conditionalFormatting sqref="S137 N137">
    <cfRule type="cellIs" dxfId="16" priority="17" operator="greaterThan">
      <formula>0</formula>
    </cfRule>
  </conditionalFormatting>
  <conditionalFormatting sqref="T137 O137">
    <cfRule type="cellIs" dxfId="15" priority="16" operator="greaterThan">
      <formula>0</formula>
    </cfRule>
  </conditionalFormatting>
  <conditionalFormatting sqref="U137 P137">
    <cfRule type="cellIs" dxfId="14" priority="15" operator="greaterThan">
      <formula>0</formula>
    </cfRule>
  </conditionalFormatting>
  <conditionalFormatting sqref="I137:K137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R136 M136">
    <cfRule type="cellIs" dxfId="11" priority="12" operator="greaterThan">
      <formula>0</formula>
    </cfRule>
  </conditionalFormatting>
  <conditionalFormatting sqref="S136 N136">
    <cfRule type="cellIs" dxfId="10" priority="11" operator="greaterThan">
      <formula>0</formula>
    </cfRule>
  </conditionalFormatting>
  <conditionalFormatting sqref="T136 O136">
    <cfRule type="cellIs" dxfId="9" priority="10" operator="greaterThan">
      <formula>0</formula>
    </cfRule>
  </conditionalFormatting>
  <conditionalFormatting sqref="U136 P136">
    <cfRule type="cellIs" dxfId="8" priority="9" operator="greaterThan">
      <formula>0</formula>
    </cfRule>
  </conditionalFormatting>
  <conditionalFormatting sqref="I136:K136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I139:K139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M139 R139">
    <cfRule type="cellIs" dxfId="3" priority="4" operator="greaterThan">
      <formula>0</formula>
    </cfRule>
  </conditionalFormatting>
  <conditionalFormatting sqref="N139 S139">
    <cfRule type="cellIs" dxfId="2" priority="3" operator="greaterThan">
      <formula>0</formula>
    </cfRule>
  </conditionalFormatting>
  <conditionalFormatting sqref="O139 T139">
    <cfRule type="cellIs" dxfId="1" priority="2" operator="greaterThan">
      <formula>0</formula>
    </cfRule>
  </conditionalFormatting>
  <conditionalFormatting sqref="P139 U139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49CCBB-8969-4E3E-AA7B-95ED747486E4}"/>
</file>

<file path=customXml/itemProps2.xml><?xml version="1.0" encoding="utf-8"?>
<ds:datastoreItem xmlns:ds="http://schemas.openxmlformats.org/officeDocument/2006/customXml" ds:itemID="{9D9F09A4-2284-42FC-9AB6-8A53E7802B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A6DC50-9B6E-4008-B773-9D5067EF30D6}">
  <ds:schemaRefs>
    <ds:schemaRef ds:uri="http://schemas.microsoft.com/office/2006/documentManagement/types"/>
    <ds:schemaRef ds:uri="2c4e1b44-4198-4e94-9bea-673078799ec1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Hrs &amp; Util.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Bennett</dc:creator>
  <cp:lastModifiedBy>Mark Hanson</cp:lastModifiedBy>
  <dcterms:created xsi:type="dcterms:W3CDTF">2020-10-12T01:17:54Z</dcterms:created>
  <dcterms:modified xsi:type="dcterms:W3CDTF">2020-10-12T13:59:00Z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