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04"/>
  <workbookPr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Reporting/"/>
    </mc:Choice>
  </mc:AlternateContent>
  <xr:revisionPtr revIDLastSave="1179" documentId="11_F25DC773A252ABDACC104809D91C526C5BDE58ED" xr6:coauthVersionLast="46" xr6:coauthVersionMax="46" xr10:uidLastSave="{C5A67049-74C6-42B8-A1FA-49FA9045CF71}"/>
  <bookViews>
    <workbookView xWindow="3525" yWindow="1365" windowWidth="28800" windowHeight="15435" xr2:uid="{00000000-000D-0000-FFFF-FFFF00000000}"/>
  </bookViews>
  <sheets>
    <sheet name="Projects" sheetId="1" r:id="rId1"/>
    <sheet name="Engineers" sheetId="2" r:id="rId2"/>
    <sheet name="Sheet1" sheetId="3" r:id="rId3"/>
  </sheets>
  <definedNames>
    <definedName name="_xlnm._FilterDatabase" localSheetId="0" hidden="1">Projects!$A$2:$T$27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4" i="2" l="1"/>
  <c r="Q24" i="2"/>
  <c r="R24" i="2"/>
  <c r="S24" i="2"/>
  <c r="T24" i="2"/>
  <c r="P24" i="2"/>
  <c r="C6" i="2"/>
  <c r="J24" i="2"/>
  <c r="C8" i="2"/>
  <c r="C5" i="2"/>
  <c r="H24" i="2"/>
  <c r="I24" i="2"/>
  <c r="K24" i="2"/>
  <c r="L24" i="2"/>
  <c r="M24" i="2"/>
  <c r="N24" i="2"/>
  <c r="O24" i="2"/>
  <c r="G24" i="2" l="1"/>
  <c r="C7" i="2"/>
  <c r="C9" i="2"/>
  <c r="C10" i="2"/>
  <c r="C2" i="2"/>
  <c r="C11" i="2"/>
  <c r="C12" i="2"/>
  <c r="E24" i="2"/>
  <c r="F24" i="2"/>
  <c r="D24" i="2"/>
</calcChain>
</file>

<file path=xl/sharedStrings.xml><?xml version="1.0" encoding="utf-8"?>
<sst xmlns="http://schemas.openxmlformats.org/spreadsheetml/2006/main" count="301" uniqueCount="152">
  <si>
    <t>planning</t>
  </si>
  <si>
    <t>Project</t>
  </si>
  <si>
    <t>Status</t>
  </si>
  <si>
    <t>Project Type</t>
  </si>
  <si>
    <t>Deliverables</t>
  </si>
  <si>
    <t>Estimated Start</t>
  </si>
  <si>
    <t>Estimated End</t>
  </si>
  <si>
    <t>Project Leadership Team</t>
  </si>
  <si>
    <t>CMC Team Lead</t>
  </si>
  <si>
    <t>CMC Engineer Lead</t>
  </si>
  <si>
    <t>Lead Engineer Weekly Target Hours</t>
  </si>
  <si>
    <t>CMC TOM Lead</t>
  </si>
  <si>
    <t>CMC TOM Target Hours</t>
  </si>
  <si>
    <t>CMC Secondary Engineer</t>
  </si>
  <si>
    <t>Secondary Engineer Weekly Target Hours</t>
  </si>
  <si>
    <t>CMC Engineer 3</t>
  </si>
  <si>
    <t>Engineer 3 Weekly Target Hours</t>
  </si>
  <si>
    <t>CMC Engineer 4</t>
  </si>
  <si>
    <t>Engineer 4 Weekly Target Hours</t>
  </si>
  <si>
    <t>CMC TOM 2</t>
  </si>
  <si>
    <t>CMC TOM 2 Target Hours</t>
  </si>
  <si>
    <t>Providence</t>
  </si>
  <si>
    <t>Open</t>
  </si>
  <si>
    <t>TRE</t>
  </si>
  <si>
    <t>Migration</t>
  </si>
  <si>
    <t>In progress</t>
  </si>
  <si>
    <t>Ongoing</t>
  </si>
  <si>
    <t>CP: Rehan Iqbal
DM: Akash Malhotra
Tech Lead: John Orzarchuk
Analyst: Marquis Wynne</t>
  </si>
  <si>
    <t>Marshall</t>
  </si>
  <si>
    <t>Mason</t>
  </si>
  <si>
    <t>20</t>
  </si>
  <si>
    <t>Kyle</t>
  </si>
  <si>
    <t>10-20</t>
  </si>
  <si>
    <t>Braiton</t>
  </si>
  <si>
    <t>Marshall (Support Only)</t>
  </si>
  <si>
    <t>5-10</t>
  </si>
  <si>
    <t>Elekta</t>
  </si>
  <si>
    <t>CP: Jimmy Cordy
DM: Jim Jung
Tech Lead: John Wildes
Analyst: Marshall (20-30hrs/wk)</t>
  </si>
  <si>
    <t>Angel</t>
  </si>
  <si>
    <t>Martin</t>
  </si>
  <si>
    <t>Joe</t>
  </si>
  <si>
    <t>BassPro</t>
  </si>
  <si>
    <t>Closed</t>
  </si>
  <si>
    <t>T&amp;M</t>
  </si>
  <si>
    <t>DM: Natalie Pssaros
Tech Lead: David Smith</t>
  </si>
  <si>
    <t>Russ</t>
  </si>
  <si>
    <t>CU Direct</t>
  </si>
  <si>
    <t>On Hold / Possibly Closing</t>
  </si>
  <si>
    <t>CP: Jimmy Cordy
DD: Ryan McClish
Tech Lead: Brad Householder
Engineer: Curt Raburn</t>
  </si>
  <si>
    <t>20+</t>
  </si>
  <si>
    <t>Samartitan Health</t>
  </si>
  <si>
    <t>LZ</t>
  </si>
  <si>
    <t>DM: Sarah Winchester
Tech Lead: David Smith</t>
  </si>
  <si>
    <t>5 during design
20 during deployment</t>
  </si>
  <si>
    <t>Joe/Martin</t>
  </si>
  <si>
    <t>10-20 during deployment</t>
  </si>
  <si>
    <t>Textron Artic Cat</t>
  </si>
  <si>
    <t>DD: Kat Lawson
Tech Lead: David Smith
Secondary Lead: Mike Shaw</t>
  </si>
  <si>
    <t>Hussmann</t>
  </si>
  <si>
    <t>2 month hold before closing up</t>
  </si>
  <si>
    <t>LZ / Migration</t>
  </si>
  <si>
    <t>DM: David Stoeckle
Tech Lead: Anthony Budd</t>
  </si>
  <si>
    <t>Angel(Closing)</t>
  </si>
  <si>
    <t>10-15</t>
  </si>
  <si>
    <t>Panasonic (PNA)</t>
  </si>
  <si>
    <t>DM: Jean Gold
Tech Lead: Anthony Budd</t>
  </si>
  <si>
    <t>Geoff</t>
  </si>
  <si>
    <t>Doug</t>
  </si>
  <si>
    <t>Jordan</t>
  </si>
  <si>
    <t>CDW</t>
  </si>
  <si>
    <t>DM: David Stoeckle
Tech Lead: Ron Henderson</t>
  </si>
  <si>
    <t>Stone Brewing</t>
  </si>
  <si>
    <t>DM: Sarah Winchester
Tech Lead: Anthony Budd</t>
  </si>
  <si>
    <t>Russ/Angel</t>
  </si>
  <si>
    <t>Flow International</t>
  </si>
  <si>
    <t>Hold</t>
  </si>
  <si>
    <t>On Hold</t>
  </si>
  <si>
    <t>Substantial</t>
  </si>
  <si>
    <t>University of Wisconsin</t>
  </si>
  <si>
    <t>Fixed Fee</t>
  </si>
  <si>
    <t>DD: Eddie Monroe
Tech Lead: Anthony Budd</t>
  </si>
  <si>
    <t>FirsTech</t>
  </si>
  <si>
    <t>Closing</t>
  </si>
  <si>
    <t>HBC</t>
  </si>
  <si>
    <t>DM: Gary Martinez                                             Tech Lead: Anthony Budd</t>
  </si>
  <si>
    <t>Matt</t>
  </si>
  <si>
    <t>Kyle D</t>
  </si>
  <si>
    <t>Lexmark</t>
  </si>
  <si>
    <t>LZ/Migration</t>
  </si>
  <si>
    <t>DD: Dennis</t>
  </si>
  <si>
    <t>Scott L</t>
  </si>
  <si>
    <t>Noble Drilling</t>
  </si>
  <si>
    <t>Closed 3/25/21</t>
  </si>
  <si>
    <t>DD: Tony Catalano</t>
  </si>
  <si>
    <t>Panasonic (Avionics)</t>
  </si>
  <si>
    <t>Union Tank Car</t>
  </si>
  <si>
    <t>Columbia</t>
  </si>
  <si>
    <t>DM: Lane Compton</t>
  </si>
  <si>
    <t>0-5</t>
  </si>
  <si>
    <t>Viewpoint/Trimble</t>
  </si>
  <si>
    <t>App Migration</t>
  </si>
  <si>
    <t>PepsiCo</t>
  </si>
  <si>
    <t>DM: Kate K (out of region)</t>
  </si>
  <si>
    <t>Reiter</t>
  </si>
  <si>
    <t>Sony</t>
  </si>
  <si>
    <t>WVD Migration</t>
  </si>
  <si>
    <t>DD: David Stoeckle 
Tech Lead: Mike Shaw</t>
  </si>
  <si>
    <t>Multicare</t>
  </si>
  <si>
    <t>Landing Zone</t>
  </si>
  <si>
    <t>DD: Christina Sciarrotta
Tech Lead: Mike Shaw
Architect: David Smith</t>
  </si>
  <si>
    <t>Kindred</t>
  </si>
  <si>
    <t>AVS / Migration</t>
  </si>
  <si>
    <t>project readjustments:</t>
  </si>
  <si>
    <t xml:space="preserve">HBC: </t>
  </si>
  <si>
    <t>Off:Jordan/Kyle</t>
  </si>
  <si>
    <t>On: Angel/Doug</t>
  </si>
  <si>
    <t>Lexmark:</t>
  </si>
  <si>
    <t>need to sync on this moving forward</t>
  </si>
  <si>
    <t>Pepsi:</t>
  </si>
  <si>
    <t>Geoff, Joe Z, Braiton, Deserick</t>
  </si>
  <si>
    <t>Last Updated</t>
  </si>
  <si>
    <t>Est. Free</t>
  </si>
  <si>
    <t>Textron</t>
  </si>
  <si>
    <r>
      <t>Panasonic</t>
    </r>
    <r>
      <rPr>
        <b/>
        <sz val="11"/>
        <color theme="1"/>
        <rFont val="Calibri"/>
        <family val="2"/>
        <scheme val="minor"/>
      </rPr>
      <t xml:space="preserve"> (PNA)</t>
    </r>
  </si>
  <si>
    <r>
      <t>Panasonic (</t>
    </r>
    <r>
      <rPr>
        <b/>
        <sz val="11"/>
        <color theme="1"/>
        <rFont val="Calibri"/>
        <family val="2"/>
        <scheme val="minor"/>
      </rPr>
      <t>Avionics)</t>
    </r>
  </si>
  <si>
    <t>Flow</t>
  </si>
  <si>
    <t>Noble</t>
  </si>
  <si>
    <t>Marshall Choate</t>
  </si>
  <si>
    <t>Geoff Austermiller</t>
  </si>
  <si>
    <t>Matt Laird</t>
  </si>
  <si>
    <t>Angel Garcia</t>
  </si>
  <si>
    <t>Braiton Mendoza</t>
  </si>
  <si>
    <t>Doug Jaquay</t>
  </si>
  <si>
    <t>Joe Zuniga</t>
  </si>
  <si>
    <t>Jordan Dunlap</t>
  </si>
  <si>
    <t>Kyle Dougherty</t>
  </si>
  <si>
    <t>Martin Lee</t>
  </si>
  <si>
    <t>Mason Adams</t>
  </si>
  <si>
    <t>Sean McMahan</t>
  </si>
  <si>
    <t>Aaron Perry</t>
  </si>
  <si>
    <t>Deserick Joyner</t>
  </si>
  <si>
    <t>Michael Easthouse</t>
  </si>
  <si>
    <t>Ernie Perez</t>
  </si>
  <si>
    <t>William Parker</t>
  </si>
  <si>
    <t>Trina Harris</t>
  </si>
  <si>
    <t>Colin Higgins</t>
  </si>
  <si>
    <t>Mohammad Ghouri</t>
  </si>
  <si>
    <t>Scott Lucksanalamai</t>
  </si>
  <si>
    <t>ICDC Pool</t>
  </si>
  <si>
    <t>Difference</t>
  </si>
  <si>
    <t>Forecasted (not sold)</t>
  </si>
  <si>
    <t>Forecasted (sold)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</si>
</sst>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6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/>
    <xf numFmtId="14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2" fillId="0" borderId="0" xfId="0" applyFont="1" applyAlignment="1">
      <alignment horizontal="left"/>
    </xf>
    <xf numFmtId="0" fontId="1" fillId="3" borderId="1" xfId="0" applyFont="1" applyFill="1" applyBorder="1" applyAlignment="1">
      <alignment wrapText="1"/>
    </xf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2" fillId="6" borderId="0" xfId="0" applyFont="1" applyFill="1" applyAlignment="1">
      <alignment horizontal="left"/>
    </xf>
    <xf numFmtId="49" fontId="0" fillId="0" borderId="0" xfId="0" applyNumberFormat="1" applyFill="1" applyAlignment="1">
      <alignment horizontal="left" wrapText="1"/>
    </xf>
    <xf numFmtId="0" fontId="0" fillId="0" borderId="0" xfId="0" applyFill="1"/>
    <xf numFmtId="16" fontId="0" fillId="0" borderId="0" xfId="0" applyNumberFormat="1" applyFill="1"/>
    <xf numFmtId="0" fontId="1" fillId="3" borderId="1" xfId="0" applyFont="1" applyFill="1" applyBorder="1" applyAlignment="1">
      <alignment horizontal="left" wrapText="1"/>
    </xf>
    <xf numFmtId="0" fontId="2" fillId="7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2" fillId="6" borderId="0" xfId="0" applyFont="1" applyFill="1"/>
    <xf numFmtId="0" fontId="0" fillId="0" borderId="3" xfId="0" applyBorder="1"/>
    <xf numFmtId="16" fontId="0" fillId="0" borderId="3" xfId="0" applyNumberFormat="1" applyBorder="1"/>
    <xf numFmtId="0" fontId="0" fillId="4" borderId="3" xfId="0" applyFill="1" applyBorder="1"/>
    <xf numFmtId="0" fontId="0" fillId="5" borderId="3" xfId="0" applyFill="1" applyBorder="1"/>
    <xf numFmtId="0" fontId="0" fillId="0" borderId="4" xfId="0" applyBorder="1" applyAlignment="1">
      <alignment horizontal="center"/>
    </xf>
    <xf numFmtId="0" fontId="0" fillId="8" borderId="0" xfId="0" applyFill="1"/>
    <xf numFmtId="0" fontId="5" fillId="0" borderId="0" xfId="0" applyFont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" fontId="0" fillId="0" borderId="0" xfId="0" quotePrefix="1" applyNumberFormat="1" applyFill="1"/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3"/>
  <sheetViews>
    <sheetView tabSelected="1" zoomScale="90" zoomScaleNormal="90" workbookViewId="0">
      <pane xSplit="1" ySplit="2" topLeftCell="B3" activePane="bottomRight" state="frozen"/>
      <selection pane="bottomRight" activeCell="G28" sqref="G28"/>
      <selection pane="bottomLeft" activeCell="A2" sqref="A2"/>
      <selection pane="topRight" activeCell="B1" sqref="B1"/>
    </sheetView>
  </sheetViews>
  <sheetFormatPr defaultRowHeight="15"/>
  <cols>
    <col min="1" max="1" width="22.42578125" bestFit="1" customWidth="1"/>
    <col min="2" max="2" width="17.42578125" style="15" bestFit="1" customWidth="1"/>
    <col min="3" max="3" width="14.28515625" bestFit="1" customWidth="1"/>
    <col min="4" max="4" width="15.5703125" bestFit="1" customWidth="1"/>
    <col min="5" max="5" width="16.85546875" style="1" bestFit="1" customWidth="1"/>
    <col min="6" max="6" width="16.85546875" style="1" customWidth="1"/>
    <col min="7" max="7" width="40.85546875" customWidth="1"/>
    <col min="8" max="8" width="23.42578125" customWidth="1"/>
    <col min="9" max="9" width="21.5703125" style="19" customWidth="1"/>
    <col min="10" max="10" width="25.42578125" style="19" customWidth="1"/>
    <col min="11" max="11" width="16.85546875" style="19" bestFit="1" customWidth="1"/>
    <col min="12" max="12" width="16.5703125" style="19" customWidth="1"/>
    <col min="13" max="13" width="21.7109375" style="19" customWidth="1"/>
    <col min="14" max="14" width="24.42578125" style="19" customWidth="1"/>
    <col min="15" max="15" width="21.7109375" style="19" customWidth="1"/>
    <col min="16" max="16" width="18.85546875" style="19" bestFit="1" customWidth="1"/>
    <col min="17" max="17" width="17.28515625" style="19" bestFit="1" customWidth="1"/>
    <col min="18" max="18" width="18" style="19" customWidth="1"/>
    <col min="19" max="20" width="9.140625" style="19"/>
  </cols>
  <sheetData>
    <row r="1" spans="1:20">
      <c r="B1" s="17"/>
      <c r="C1" s="22"/>
      <c r="D1" s="30" t="s">
        <v>0</v>
      </c>
    </row>
    <row r="2" spans="1:20" ht="46.5" customHeight="1">
      <c r="A2" s="8" t="s">
        <v>1</v>
      </c>
      <c r="B2" s="8" t="s">
        <v>2</v>
      </c>
      <c r="C2" s="8" t="s">
        <v>3</v>
      </c>
      <c r="D2" s="8" t="s">
        <v>4</v>
      </c>
      <c r="E2" s="21" t="s">
        <v>5</v>
      </c>
      <c r="F2" s="21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</row>
    <row r="3" spans="1:20" ht="60">
      <c r="A3" s="17" t="s">
        <v>21</v>
      </c>
      <c r="B3" s="14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2" t="s">
        <v>27</v>
      </c>
      <c r="H3" s="2" t="s">
        <v>28</v>
      </c>
      <c r="I3" s="6" t="s">
        <v>29</v>
      </c>
      <c r="J3" s="6" t="s">
        <v>30</v>
      </c>
      <c r="K3" s="6"/>
      <c r="L3" s="6"/>
      <c r="M3" s="11" t="s">
        <v>31</v>
      </c>
      <c r="N3" s="11" t="s">
        <v>32</v>
      </c>
      <c r="O3" s="6" t="s">
        <v>33</v>
      </c>
      <c r="P3" s="6" t="s">
        <v>32</v>
      </c>
      <c r="Q3" s="18" t="s">
        <v>34</v>
      </c>
      <c r="R3" s="6" t="s">
        <v>35</v>
      </c>
    </row>
    <row r="4" spans="1:20" ht="60">
      <c r="A4" s="17" t="s">
        <v>36</v>
      </c>
      <c r="B4" s="14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37</v>
      </c>
      <c r="H4" s="2" t="s">
        <v>28</v>
      </c>
      <c r="I4" s="6" t="s">
        <v>38</v>
      </c>
      <c r="J4" s="6">
        <v>20</v>
      </c>
      <c r="K4" s="6"/>
      <c r="L4" s="6"/>
      <c r="M4" s="6" t="s">
        <v>39</v>
      </c>
      <c r="N4" s="6" t="s">
        <v>32</v>
      </c>
      <c r="O4" s="6" t="s">
        <v>40</v>
      </c>
      <c r="P4" s="6" t="s">
        <v>32</v>
      </c>
      <c r="Q4" s="11" t="s">
        <v>33</v>
      </c>
      <c r="R4" s="11" t="s">
        <v>35</v>
      </c>
    </row>
    <row r="5" spans="1:20" ht="30" hidden="1">
      <c r="A5" s="7" t="s">
        <v>41</v>
      </c>
      <c r="B5" s="7" t="s">
        <v>42</v>
      </c>
      <c r="C5" s="1" t="s">
        <v>43</v>
      </c>
      <c r="D5" s="1" t="s">
        <v>24</v>
      </c>
      <c r="E5" s="1" t="s">
        <v>25</v>
      </c>
      <c r="G5" s="2" t="s">
        <v>44</v>
      </c>
      <c r="H5" s="2"/>
      <c r="I5" s="5" t="s">
        <v>45</v>
      </c>
      <c r="J5" s="5" t="s">
        <v>32</v>
      </c>
      <c r="K5" s="5"/>
      <c r="L5" s="5"/>
      <c r="M5" s="12" t="s">
        <v>40</v>
      </c>
      <c r="N5" s="12" t="s">
        <v>32</v>
      </c>
      <c r="O5" s="5" t="s">
        <v>38</v>
      </c>
      <c r="P5" s="5" t="s">
        <v>35</v>
      </c>
      <c r="Q5" s="6"/>
      <c r="R5" s="6"/>
      <c r="S5"/>
      <c r="T5"/>
    </row>
    <row r="6" spans="1:20" ht="60">
      <c r="A6" s="7" t="s">
        <v>46</v>
      </c>
      <c r="B6" s="14" t="s">
        <v>47</v>
      </c>
      <c r="C6" s="1" t="s">
        <v>43</v>
      </c>
      <c r="D6" s="1" t="s">
        <v>24</v>
      </c>
      <c r="E6" s="4">
        <v>44116</v>
      </c>
      <c r="F6" s="4"/>
      <c r="G6" s="2" t="s">
        <v>48</v>
      </c>
      <c r="H6" s="2" t="s">
        <v>31</v>
      </c>
      <c r="I6" s="3" t="s">
        <v>31</v>
      </c>
      <c r="J6" s="5" t="s">
        <v>49</v>
      </c>
      <c r="K6" s="5"/>
      <c r="L6" s="5"/>
      <c r="M6" s="12" t="s">
        <v>40</v>
      </c>
      <c r="N6" s="12" t="s">
        <v>32</v>
      </c>
      <c r="O6" s="3" t="s">
        <v>33</v>
      </c>
      <c r="P6" s="5" t="s">
        <v>32</v>
      </c>
      <c r="Q6"/>
      <c r="R6"/>
      <c r="S6"/>
      <c r="T6"/>
    </row>
    <row r="7" spans="1:20" ht="30" hidden="1">
      <c r="A7" s="7" t="s">
        <v>50</v>
      </c>
      <c r="B7" s="7" t="s">
        <v>42</v>
      </c>
      <c r="C7" s="1" t="s">
        <v>43</v>
      </c>
      <c r="D7" s="1" t="s">
        <v>51</v>
      </c>
      <c r="E7" s="4">
        <v>44060</v>
      </c>
      <c r="F7" s="4"/>
      <c r="G7" s="2" t="s">
        <v>52</v>
      </c>
      <c r="H7" s="2"/>
      <c r="I7" s="5" t="s">
        <v>45</v>
      </c>
      <c r="J7" s="13" t="s">
        <v>53</v>
      </c>
      <c r="K7" s="13"/>
      <c r="L7" s="13"/>
      <c r="M7" s="12" t="s">
        <v>54</v>
      </c>
      <c r="N7" s="12" t="s">
        <v>55</v>
      </c>
      <c r="O7" s="5"/>
      <c r="P7" s="5"/>
      <c r="Q7" s="9"/>
      <c r="R7" s="9"/>
      <c r="S7"/>
      <c r="T7"/>
    </row>
    <row r="8" spans="1:20" ht="45">
      <c r="A8" s="22" t="s">
        <v>56</v>
      </c>
      <c r="B8" s="14" t="s">
        <v>22</v>
      </c>
      <c r="C8" s="1" t="s">
        <v>43</v>
      </c>
      <c r="D8" s="1" t="s">
        <v>24</v>
      </c>
      <c r="E8" s="4">
        <v>44119</v>
      </c>
      <c r="F8" s="4"/>
      <c r="G8" s="2" t="s">
        <v>57</v>
      </c>
      <c r="H8" s="2" t="s">
        <v>28</v>
      </c>
      <c r="I8" s="6" t="s">
        <v>40</v>
      </c>
      <c r="J8" s="18" t="s">
        <v>32</v>
      </c>
      <c r="K8" s="18"/>
      <c r="L8" s="18"/>
      <c r="M8" s="6"/>
      <c r="N8" s="6" t="s">
        <v>35</v>
      </c>
      <c r="O8" s="6"/>
      <c r="P8" s="6"/>
      <c r="Q8" s="11"/>
      <c r="R8" s="11"/>
    </row>
    <row r="9" spans="1:20" ht="30">
      <c r="A9" s="17" t="s">
        <v>58</v>
      </c>
      <c r="B9" s="14" t="s">
        <v>59</v>
      </c>
      <c r="C9" s="1" t="s">
        <v>43</v>
      </c>
      <c r="D9" s="1" t="s">
        <v>60</v>
      </c>
      <c r="E9" s="4">
        <v>44053</v>
      </c>
      <c r="F9" s="4"/>
      <c r="G9" s="2" t="s">
        <v>61</v>
      </c>
      <c r="H9" s="2" t="s">
        <v>62</v>
      </c>
      <c r="I9" s="6" t="s">
        <v>38</v>
      </c>
      <c r="J9" s="18" t="s">
        <v>63</v>
      </c>
      <c r="K9" s="18"/>
      <c r="L9" s="18"/>
      <c r="M9" s="6" t="s">
        <v>39</v>
      </c>
      <c r="N9" s="6" t="s">
        <v>32</v>
      </c>
      <c r="O9" s="6"/>
      <c r="P9" s="6"/>
      <c r="Q9" s="11"/>
      <c r="R9" s="11"/>
    </row>
    <row r="10" spans="1:20" ht="30">
      <c r="A10" s="23" t="s">
        <v>64</v>
      </c>
      <c r="B10" s="14" t="s">
        <v>22</v>
      </c>
      <c r="C10" s="1" t="s">
        <v>43</v>
      </c>
      <c r="D10" s="1" t="s">
        <v>51</v>
      </c>
      <c r="E10" s="4">
        <v>44067</v>
      </c>
      <c r="F10" s="4">
        <v>44281</v>
      </c>
      <c r="G10" s="2" t="s">
        <v>65</v>
      </c>
      <c r="H10" s="19" t="s">
        <v>66</v>
      </c>
      <c r="I10" s="6" t="s">
        <v>39</v>
      </c>
      <c r="J10" s="18" t="s">
        <v>53</v>
      </c>
      <c r="K10" s="18"/>
      <c r="L10" s="18"/>
      <c r="M10" s="6" t="s">
        <v>67</v>
      </c>
      <c r="N10" s="6"/>
      <c r="O10" s="6" t="s">
        <v>68</v>
      </c>
      <c r="P10" s="6"/>
      <c r="Q10" s="11"/>
      <c r="R10" s="11"/>
    </row>
    <row r="11" spans="1:20" ht="30" hidden="1">
      <c r="A11" s="7" t="s">
        <v>69</v>
      </c>
      <c r="B11" s="7" t="s">
        <v>42</v>
      </c>
      <c r="C11" s="1" t="s">
        <v>43</v>
      </c>
      <c r="D11" s="1" t="s">
        <v>51</v>
      </c>
      <c r="E11" s="4">
        <v>44095</v>
      </c>
      <c r="F11" s="4"/>
      <c r="G11" s="2" t="s">
        <v>70</v>
      </c>
      <c r="H11" s="2" t="s">
        <v>45</v>
      </c>
      <c r="I11" s="10" t="s">
        <v>28</v>
      </c>
      <c r="J11" s="13" t="s">
        <v>53</v>
      </c>
      <c r="K11" s="13"/>
      <c r="L11" s="13"/>
      <c r="M11" s="12" t="s">
        <v>40</v>
      </c>
      <c r="N11" s="12" t="s">
        <v>55</v>
      </c>
      <c r="O11" s="10"/>
      <c r="P11" s="10"/>
      <c r="Q11" s="9"/>
      <c r="R11" s="9"/>
      <c r="S11"/>
      <c r="T11"/>
    </row>
    <row r="12" spans="1:20" ht="30" hidden="1">
      <c r="A12" s="7" t="s">
        <v>71</v>
      </c>
      <c r="B12" s="7" t="s">
        <v>42</v>
      </c>
      <c r="C12" s="1" t="s">
        <v>43</v>
      </c>
      <c r="D12" s="1" t="s">
        <v>51</v>
      </c>
      <c r="E12" s="4">
        <v>44092</v>
      </c>
      <c r="F12" s="4"/>
      <c r="G12" s="2" t="s">
        <v>72</v>
      </c>
      <c r="H12" s="2"/>
      <c r="I12" s="10" t="s">
        <v>73</v>
      </c>
      <c r="J12" s="13" t="s">
        <v>53</v>
      </c>
      <c r="K12" s="13"/>
      <c r="L12" s="13"/>
      <c r="M12" s="12" t="s">
        <v>54</v>
      </c>
      <c r="N12" s="12" t="s">
        <v>55</v>
      </c>
      <c r="O12" s="10"/>
      <c r="P12" s="10"/>
      <c r="Q12" s="9"/>
      <c r="R12" s="9"/>
      <c r="S12"/>
      <c r="T12"/>
    </row>
    <row r="13" spans="1:20" ht="30">
      <c r="A13" s="22" t="s">
        <v>74</v>
      </c>
      <c r="B13" s="14" t="s">
        <v>75</v>
      </c>
      <c r="C13" s="1" t="s">
        <v>43</v>
      </c>
      <c r="D13" s="1" t="s">
        <v>60</v>
      </c>
      <c r="E13" s="4">
        <v>44060</v>
      </c>
      <c r="F13" s="4"/>
      <c r="G13" s="2" t="s">
        <v>52</v>
      </c>
      <c r="H13" s="2" t="s">
        <v>76</v>
      </c>
      <c r="I13" s="6" t="s">
        <v>40</v>
      </c>
      <c r="J13" s="18" t="s">
        <v>53</v>
      </c>
      <c r="K13" s="18"/>
      <c r="L13" s="18"/>
      <c r="M13" s="6"/>
      <c r="N13" s="6"/>
      <c r="O13" s="6"/>
      <c r="P13" s="6"/>
      <c r="Q13" s="11"/>
      <c r="R13" s="11"/>
    </row>
    <row r="14" spans="1:20" ht="30" hidden="1">
      <c r="A14" s="7" t="s">
        <v>77</v>
      </c>
      <c r="B14" s="7" t="s">
        <v>42</v>
      </c>
      <c r="C14" s="1" t="s">
        <v>43</v>
      </c>
      <c r="D14" s="1" t="s">
        <v>51</v>
      </c>
      <c r="E14" s="4">
        <v>44068</v>
      </c>
      <c r="F14" s="4"/>
      <c r="G14" s="2" t="s">
        <v>52</v>
      </c>
      <c r="H14" s="2"/>
      <c r="I14" s="10" t="s">
        <v>39</v>
      </c>
      <c r="J14" s="13" t="s">
        <v>53</v>
      </c>
      <c r="K14" s="13"/>
      <c r="L14" s="13"/>
      <c r="M14" s="12" t="s">
        <v>40</v>
      </c>
      <c r="N14" s="12" t="s">
        <v>55</v>
      </c>
      <c r="O14" s="10"/>
      <c r="P14" s="10"/>
      <c r="Q14" s="9"/>
      <c r="R14" s="9"/>
      <c r="S14"/>
      <c r="T14"/>
    </row>
    <row r="15" spans="1:20" ht="30" hidden="1">
      <c r="A15" s="7" t="s">
        <v>78</v>
      </c>
      <c r="B15" s="7" t="s">
        <v>42</v>
      </c>
      <c r="C15" s="1" t="s">
        <v>79</v>
      </c>
      <c r="D15" s="1" t="s">
        <v>51</v>
      </c>
      <c r="E15" s="4">
        <v>44137</v>
      </c>
      <c r="F15" s="4"/>
      <c r="G15" s="2" t="s">
        <v>80</v>
      </c>
      <c r="H15" s="2" t="s">
        <v>45</v>
      </c>
      <c r="I15" s="3" t="s">
        <v>39</v>
      </c>
      <c r="J15" s="13" t="s">
        <v>53</v>
      </c>
      <c r="K15" s="13"/>
      <c r="L15" s="13"/>
      <c r="M15" s="12" t="s">
        <v>40</v>
      </c>
      <c r="N15" s="12" t="s">
        <v>55</v>
      </c>
      <c r="O15" s="3"/>
      <c r="P15" s="3"/>
      <c r="Q15"/>
      <c r="R15"/>
      <c r="S15"/>
      <c r="T15"/>
    </row>
    <row r="16" spans="1:20" ht="30" hidden="1">
      <c r="A16" s="7" t="s">
        <v>81</v>
      </c>
      <c r="B16" s="14" t="s">
        <v>82</v>
      </c>
      <c r="C16" s="1" t="s">
        <v>43</v>
      </c>
      <c r="D16" s="1" t="s">
        <v>51</v>
      </c>
      <c r="E16" s="4">
        <v>44154</v>
      </c>
      <c r="F16" s="4">
        <v>44242</v>
      </c>
      <c r="G16" s="2" t="s">
        <v>61</v>
      </c>
      <c r="H16" t="s">
        <v>82</v>
      </c>
      <c r="I16" s="19" t="s">
        <v>40</v>
      </c>
      <c r="J16" s="18" t="s">
        <v>53</v>
      </c>
      <c r="K16" s="18"/>
      <c r="L16" s="18"/>
      <c r="M16" s="6" t="s">
        <v>67</v>
      </c>
    </row>
    <row r="17" spans="1:16" ht="30">
      <c r="A17" s="22" t="s">
        <v>83</v>
      </c>
      <c r="B17" s="14" t="s">
        <v>22</v>
      </c>
      <c r="C17" s="1" t="s">
        <v>43</v>
      </c>
      <c r="D17" s="1" t="s">
        <v>24</v>
      </c>
      <c r="E17" s="4">
        <v>44179</v>
      </c>
      <c r="F17" s="4">
        <v>44407</v>
      </c>
      <c r="G17" s="2" t="s">
        <v>84</v>
      </c>
      <c r="H17" s="2" t="s">
        <v>85</v>
      </c>
      <c r="I17" s="19" t="s">
        <v>86</v>
      </c>
      <c r="M17" s="6" t="s">
        <v>67</v>
      </c>
      <c r="N17" s="19">
        <v>20</v>
      </c>
      <c r="O17" s="19" t="s">
        <v>68</v>
      </c>
      <c r="P17" s="19">
        <v>20</v>
      </c>
    </row>
    <row r="18" spans="1:16">
      <c r="A18" s="17" t="s">
        <v>87</v>
      </c>
      <c r="B18" s="15" t="s">
        <v>22</v>
      </c>
      <c r="C18" s="1" t="s">
        <v>23</v>
      </c>
      <c r="D18" s="1" t="s">
        <v>88</v>
      </c>
      <c r="E18" s="4">
        <v>44242</v>
      </c>
      <c r="F18" s="4">
        <v>44377</v>
      </c>
      <c r="G18" s="2" t="s">
        <v>89</v>
      </c>
      <c r="H18" s="2" t="s">
        <v>85</v>
      </c>
      <c r="I18" s="19" t="s">
        <v>39</v>
      </c>
      <c r="K18" s="19" t="s">
        <v>90</v>
      </c>
      <c r="M18" s="19" t="s">
        <v>68</v>
      </c>
      <c r="O18" s="19" t="s">
        <v>40</v>
      </c>
      <c r="P18" s="19" t="s">
        <v>67</v>
      </c>
    </row>
    <row r="19" spans="1:16" hidden="1">
      <c r="A19" s="17" t="s">
        <v>91</v>
      </c>
      <c r="B19" s="15" t="s">
        <v>92</v>
      </c>
      <c r="C19" s="1" t="s">
        <v>79</v>
      </c>
      <c r="D19" s="1" t="s">
        <v>24</v>
      </c>
      <c r="E19" s="4">
        <v>44214</v>
      </c>
      <c r="F19" s="4">
        <v>44260</v>
      </c>
      <c r="G19" s="2" t="s">
        <v>93</v>
      </c>
      <c r="H19" s="1" t="s">
        <v>28</v>
      </c>
      <c r="I19" s="19" t="s">
        <v>29</v>
      </c>
      <c r="J19" s="20">
        <v>44484</v>
      </c>
      <c r="K19" s="20"/>
      <c r="L19" s="20"/>
      <c r="M19" s="19" t="s">
        <v>67</v>
      </c>
      <c r="N19" s="19">
        <v>20</v>
      </c>
      <c r="O19" s="19" t="s">
        <v>68</v>
      </c>
      <c r="P19" s="19">
        <v>20</v>
      </c>
    </row>
    <row r="20" spans="1:16">
      <c r="A20" s="17" t="s">
        <v>94</v>
      </c>
      <c r="B20" s="15" t="s">
        <v>22</v>
      </c>
      <c r="C20" s="1" t="s">
        <v>43</v>
      </c>
      <c r="D20" s="1" t="s">
        <v>88</v>
      </c>
      <c r="E20" s="4">
        <v>44242</v>
      </c>
      <c r="G20" s="2" t="s">
        <v>93</v>
      </c>
      <c r="H20" s="1" t="s">
        <v>66</v>
      </c>
      <c r="I20" s="19" t="s">
        <v>39</v>
      </c>
      <c r="M20" s="19" t="s">
        <v>67</v>
      </c>
      <c r="N20" s="19">
        <v>21</v>
      </c>
      <c r="O20" s="19" t="s">
        <v>68</v>
      </c>
      <c r="P20" s="19">
        <v>21</v>
      </c>
    </row>
    <row r="21" spans="1:16">
      <c r="A21" s="17" t="s">
        <v>95</v>
      </c>
      <c r="D21" s="1" t="s">
        <v>51</v>
      </c>
      <c r="H21" s="2" t="s">
        <v>66</v>
      </c>
      <c r="I21" s="30"/>
    </row>
    <row r="22" spans="1:16">
      <c r="A22" s="24" t="s">
        <v>96</v>
      </c>
      <c r="B22" s="15" t="s">
        <v>22</v>
      </c>
      <c r="D22" t="s">
        <v>51</v>
      </c>
      <c r="E22" s="4">
        <v>44279</v>
      </c>
      <c r="G22" t="s">
        <v>97</v>
      </c>
      <c r="H22" t="s">
        <v>28</v>
      </c>
      <c r="I22" s="30" t="s">
        <v>68</v>
      </c>
      <c r="J22" s="19">
        <v>15</v>
      </c>
      <c r="M22" s="19" t="s">
        <v>67</v>
      </c>
      <c r="N22" s="35" t="s">
        <v>35</v>
      </c>
      <c r="O22" s="19" t="s">
        <v>40</v>
      </c>
      <c r="P22" s="19" t="s">
        <v>98</v>
      </c>
    </row>
    <row r="23" spans="1:16">
      <c r="A23" t="s">
        <v>99</v>
      </c>
      <c r="D23" s="1" t="s">
        <v>100</v>
      </c>
      <c r="H23" t="s">
        <v>28</v>
      </c>
      <c r="I23" s="30"/>
    </row>
    <row r="24" spans="1:16">
      <c r="A24" t="s">
        <v>101</v>
      </c>
      <c r="B24" s="15" t="s">
        <v>22</v>
      </c>
      <c r="D24" t="s">
        <v>24</v>
      </c>
      <c r="G24" t="s">
        <v>102</v>
      </c>
      <c r="H24" t="s">
        <v>66</v>
      </c>
      <c r="I24" s="19" t="s">
        <v>40</v>
      </c>
      <c r="K24" s="19" t="s">
        <v>90</v>
      </c>
    </row>
    <row r="25" spans="1:16">
      <c r="A25" t="s">
        <v>103</v>
      </c>
    </row>
    <row r="26" spans="1:16" ht="30">
      <c r="A26" s="30" t="s">
        <v>104</v>
      </c>
      <c r="B26" s="15" t="s">
        <v>22</v>
      </c>
      <c r="D26" s="1" t="s">
        <v>105</v>
      </c>
      <c r="E26" s="4">
        <v>44337</v>
      </c>
      <c r="G26" s="2" t="s">
        <v>106</v>
      </c>
      <c r="H26" t="s">
        <v>85</v>
      </c>
      <c r="I26" s="19" t="s">
        <v>29</v>
      </c>
      <c r="J26" s="19">
        <v>40</v>
      </c>
    </row>
    <row r="27" spans="1:16" ht="45">
      <c r="A27" s="30" t="s">
        <v>107</v>
      </c>
      <c r="B27" s="15" t="s">
        <v>22</v>
      </c>
      <c r="C27" t="s">
        <v>43</v>
      </c>
      <c r="D27" t="s">
        <v>108</v>
      </c>
      <c r="E27" s="36">
        <v>44298</v>
      </c>
      <c r="G27" s="15" t="s">
        <v>109</v>
      </c>
      <c r="H27" t="s">
        <v>85</v>
      </c>
      <c r="I27" s="19" t="s">
        <v>40</v>
      </c>
      <c r="J27" s="19">
        <v>25</v>
      </c>
    </row>
    <row r="31" spans="1:16">
      <c r="A31" t="s">
        <v>110</v>
      </c>
      <c r="D31" s="1" t="s">
        <v>111</v>
      </c>
      <c r="H31" t="s">
        <v>85</v>
      </c>
    </row>
    <row r="34" spans="1:20" ht="16.5">
      <c r="A34" t="s">
        <v>112</v>
      </c>
      <c r="B34" t="s">
        <v>113</v>
      </c>
      <c r="C34" t="s">
        <v>114</v>
      </c>
      <c r="D34" t="s">
        <v>115</v>
      </c>
      <c r="E34"/>
      <c r="F34"/>
      <c r="G34" s="31"/>
      <c r="H34" s="31"/>
      <c r="I34" s="31"/>
    </row>
    <row r="35" spans="1:20" ht="16.5">
      <c r="B35" t="s">
        <v>116</v>
      </c>
      <c r="C35" t="s">
        <v>117</v>
      </c>
      <c r="E35"/>
      <c r="F35"/>
      <c r="G35" s="31"/>
      <c r="H35" s="31"/>
      <c r="I35" s="31"/>
      <c r="J35"/>
      <c r="K35"/>
      <c r="L35"/>
      <c r="M35"/>
      <c r="N35"/>
      <c r="O35"/>
      <c r="P35"/>
      <c r="Q35"/>
      <c r="R35"/>
      <c r="S35"/>
      <c r="T35"/>
    </row>
    <row r="36" spans="1:20" ht="16.5">
      <c r="B36" t="s">
        <v>118</v>
      </c>
      <c r="C36" t="s">
        <v>119</v>
      </c>
      <c r="E36"/>
      <c r="F36"/>
      <c r="G36" s="31"/>
      <c r="H36" s="31"/>
      <c r="I36" s="31"/>
      <c r="J36"/>
      <c r="K36"/>
      <c r="L36"/>
      <c r="M36"/>
      <c r="N36"/>
      <c r="O36"/>
      <c r="P36"/>
      <c r="Q36"/>
      <c r="R36"/>
      <c r="S36"/>
      <c r="T36"/>
    </row>
    <row r="37" spans="1:20" ht="16.5">
      <c r="B37"/>
      <c r="E37"/>
      <c r="F37"/>
      <c r="G37" s="31"/>
      <c r="H37" s="31"/>
      <c r="I37" s="31"/>
      <c r="J37"/>
      <c r="K37"/>
      <c r="L37"/>
      <c r="M37"/>
      <c r="N37"/>
      <c r="O37"/>
      <c r="P37"/>
      <c r="Q37"/>
      <c r="R37"/>
      <c r="S37"/>
      <c r="T37"/>
    </row>
    <row r="38" spans="1:20" ht="16.5">
      <c r="B38"/>
      <c r="E38"/>
      <c r="F38"/>
      <c r="G38" s="31"/>
      <c r="H38" s="31"/>
      <c r="I38" s="31"/>
      <c r="J38"/>
      <c r="K38"/>
      <c r="L38"/>
      <c r="M38"/>
      <c r="N38"/>
      <c r="O38"/>
      <c r="P38"/>
      <c r="Q38"/>
      <c r="R38"/>
      <c r="S38"/>
      <c r="T38"/>
    </row>
    <row r="39" spans="1:20">
      <c r="B39"/>
      <c r="E39"/>
      <c r="F39"/>
      <c r="I39"/>
    </row>
    <row r="40" spans="1:20">
      <c r="B40"/>
      <c r="E40"/>
      <c r="F40"/>
      <c r="I40"/>
    </row>
    <row r="41" spans="1:20">
      <c r="B41"/>
      <c r="E41"/>
      <c r="F41"/>
      <c r="I41"/>
    </row>
    <row r="42" spans="1:20">
      <c r="B42"/>
      <c r="E42"/>
      <c r="F42"/>
      <c r="I42"/>
    </row>
    <row r="43" spans="1:20">
      <c r="B43"/>
      <c r="E43"/>
      <c r="F43"/>
      <c r="I43"/>
    </row>
  </sheetData>
  <autoFilter ref="A2:T27" xr:uid="{D2BE3D32-57A7-42FD-8932-D65F83E4FE2A}">
    <filterColumn colId="1">
      <filters blank="1">
        <filter val="2 month hold before closing up"/>
        <filter val="Hold"/>
        <filter val="On Hold / Possibly Closing"/>
        <filter val="Open"/>
      </filters>
    </filterColumn>
  </autoFilter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148D-54CF-4B3F-8DE6-3C0655C94369}">
  <dimension ref="A1:U24"/>
  <sheetViews>
    <sheetView workbookViewId="0">
      <selection activeCell="Q1" sqref="Q1:T1"/>
    </sheetView>
  </sheetViews>
  <sheetFormatPr defaultRowHeight="15"/>
  <cols>
    <col min="1" max="1" width="18.85546875" bestFit="1" customWidth="1"/>
    <col min="2" max="2" width="12.42578125" bestFit="1" customWidth="1"/>
    <col min="4" max="4" width="11" bestFit="1" customWidth="1"/>
    <col min="5" max="5" width="6.42578125" bestFit="1" customWidth="1"/>
    <col min="6" max="6" width="9.140625" bestFit="1" customWidth="1"/>
    <col min="7" max="7" width="7.85546875" bestFit="1" customWidth="1"/>
    <col min="8" max="8" width="10.140625" bestFit="1" customWidth="1"/>
    <col min="9" max="9" width="15.7109375" bestFit="1" customWidth="1"/>
    <col min="10" max="10" width="19.42578125" bestFit="1" customWidth="1"/>
    <col min="11" max="11" width="5.28515625" bestFit="1" customWidth="1"/>
    <col min="12" max="12" width="8.28515625" bestFit="1" customWidth="1"/>
    <col min="13" max="13" width="4.5703125" bestFit="1" customWidth="1"/>
    <col min="14" max="14" width="8.42578125" bestFit="1" customWidth="1"/>
    <col min="15" max="15" width="7.85546875" customWidth="1"/>
    <col min="16" max="16" width="9.42578125" bestFit="1" customWidth="1"/>
    <col min="17" max="17" width="8" bestFit="1" customWidth="1"/>
    <col min="18" max="18" width="14.28515625" bestFit="1" customWidth="1"/>
    <col min="19" max="19" width="18.28515625" bestFit="1" customWidth="1"/>
    <col min="20" max="20" width="8.28515625" bestFit="1" customWidth="1"/>
    <col min="21" max="21" width="9.85546875" bestFit="1" customWidth="1"/>
  </cols>
  <sheetData>
    <row r="1" spans="1:21">
      <c r="A1" s="16"/>
      <c r="B1" s="16" t="s">
        <v>120</v>
      </c>
      <c r="C1" s="16" t="s">
        <v>121</v>
      </c>
      <c r="D1" s="16" t="s">
        <v>21</v>
      </c>
      <c r="E1" s="16" t="s">
        <v>36</v>
      </c>
      <c r="F1" s="16" t="s">
        <v>46</v>
      </c>
      <c r="G1" s="16" t="s">
        <v>122</v>
      </c>
      <c r="H1" s="16" t="s">
        <v>58</v>
      </c>
      <c r="I1" s="16" t="s">
        <v>123</v>
      </c>
      <c r="J1" s="16" t="s">
        <v>124</v>
      </c>
      <c r="K1" s="16" t="s">
        <v>125</v>
      </c>
      <c r="L1" s="16" t="s">
        <v>81</v>
      </c>
      <c r="M1" s="16" t="s">
        <v>83</v>
      </c>
      <c r="N1" s="16" t="s">
        <v>87</v>
      </c>
      <c r="O1" s="16" t="s">
        <v>126</v>
      </c>
      <c r="P1" s="16" t="s">
        <v>96</v>
      </c>
      <c r="Q1" s="16" t="s">
        <v>110</v>
      </c>
      <c r="R1" s="16" t="s">
        <v>95</v>
      </c>
      <c r="S1" s="16" t="s">
        <v>99</v>
      </c>
      <c r="T1" s="32" t="s">
        <v>101</v>
      </c>
      <c r="U1" s="32" t="s">
        <v>107</v>
      </c>
    </row>
    <row r="2" spans="1:21">
      <c r="A2" s="25" t="s">
        <v>127</v>
      </c>
      <c r="B2" s="26">
        <v>44239</v>
      </c>
      <c r="C2" s="25">
        <f>40-SUM(D2:AB2)</f>
        <v>5</v>
      </c>
      <c r="D2" s="25">
        <v>5</v>
      </c>
      <c r="E2" s="27">
        <v>25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>
        <v>5</v>
      </c>
      <c r="Q2" s="29"/>
      <c r="R2" s="29"/>
      <c r="S2" s="29"/>
      <c r="T2" s="33"/>
      <c r="U2" s="33"/>
    </row>
    <row r="3" spans="1:21">
      <c r="A3" s="25" t="s">
        <v>128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9"/>
      <c r="R3" s="29"/>
      <c r="S3" s="29"/>
      <c r="T3" s="33"/>
      <c r="U3" s="33"/>
    </row>
    <row r="4" spans="1:21">
      <c r="A4" s="25" t="s">
        <v>129</v>
      </c>
      <c r="B4" s="26"/>
      <c r="C4" s="28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9"/>
      <c r="R4" s="29"/>
      <c r="S4" s="29"/>
      <c r="T4" s="33"/>
      <c r="U4" s="33"/>
    </row>
    <row r="5" spans="1:21">
      <c r="A5" s="25" t="s">
        <v>130</v>
      </c>
      <c r="B5" s="26">
        <v>44277</v>
      </c>
      <c r="C5" s="25">
        <f t="shared" ref="C5:C12" si="0">40-SUM(D5:AB5)</f>
        <v>8</v>
      </c>
      <c r="D5" s="25">
        <v>2</v>
      </c>
      <c r="E5" s="25">
        <v>10</v>
      </c>
      <c r="F5" s="25"/>
      <c r="G5" s="25"/>
      <c r="H5" s="27">
        <v>5</v>
      </c>
      <c r="I5" s="25"/>
      <c r="J5" s="25"/>
      <c r="K5" s="25"/>
      <c r="L5" s="25"/>
      <c r="M5" s="25">
        <v>15</v>
      </c>
      <c r="N5" s="25"/>
      <c r="O5" s="25"/>
      <c r="P5" s="25"/>
      <c r="Q5" s="29"/>
      <c r="R5" s="29"/>
      <c r="S5" s="29"/>
      <c r="T5" s="33"/>
      <c r="U5" s="33"/>
    </row>
    <row r="6" spans="1:21">
      <c r="A6" s="25" t="s">
        <v>131</v>
      </c>
      <c r="B6" s="26">
        <v>44277</v>
      </c>
      <c r="C6" s="25">
        <f t="shared" si="0"/>
        <v>5</v>
      </c>
      <c r="D6" s="25">
        <v>25</v>
      </c>
      <c r="E6" s="25">
        <v>10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9"/>
      <c r="R6" s="29"/>
      <c r="S6" s="29"/>
      <c r="T6" s="33"/>
      <c r="U6" s="33"/>
    </row>
    <row r="7" spans="1:21">
      <c r="A7" s="25" t="s">
        <v>132</v>
      </c>
      <c r="B7" s="26">
        <v>44291</v>
      </c>
      <c r="C7" s="25">
        <f t="shared" si="0"/>
        <v>10</v>
      </c>
      <c r="D7" s="25"/>
      <c r="E7" s="25"/>
      <c r="F7" s="25"/>
      <c r="G7" s="25"/>
      <c r="H7" s="25"/>
      <c r="I7" s="25">
        <v>5</v>
      </c>
      <c r="J7" s="25">
        <v>5</v>
      </c>
      <c r="K7" s="25"/>
      <c r="L7" s="25"/>
      <c r="M7" s="25">
        <v>10</v>
      </c>
      <c r="N7" s="25">
        <v>5</v>
      </c>
      <c r="O7" s="25"/>
      <c r="P7" s="25">
        <v>5</v>
      </c>
      <c r="Q7" s="29"/>
      <c r="R7" s="29"/>
      <c r="S7" s="29"/>
      <c r="T7" s="33"/>
      <c r="U7" s="33"/>
    </row>
    <row r="8" spans="1:21">
      <c r="A8" s="25" t="s">
        <v>133</v>
      </c>
      <c r="B8" s="26">
        <v>44280</v>
      </c>
      <c r="C8" s="25">
        <f t="shared" si="0"/>
        <v>5</v>
      </c>
      <c r="D8" s="25"/>
      <c r="E8" s="25">
        <v>10</v>
      </c>
      <c r="F8" s="25"/>
      <c r="G8" s="27">
        <v>5</v>
      </c>
      <c r="H8" s="25"/>
      <c r="I8" s="25"/>
      <c r="J8" s="25"/>
      <c r="K8" s="27">
        <v>5</v>
      </c>
      <c r="L8" s="27">
        <v>0</v>
      </c>
      <c r="M8" s="25"/>
      <c r="N8" s="25">
        <v>5</v>
      </c>
      <c r="O8" s="25"/>
      <c r="P8" s="25">
        <v>5</v>
      </c>
      <c r="Q8" s="29"/>
      <c r="R8" s="29"/>
      <c r="S8" s="29"/>
      <c r="T8" s="33"/>
      <c r="U8" s="33">
        <v>5</v>
      </c>
    </row>
    <row r="9" spans="1:21">
      <c r="A9" s="25" t="s">
        <v>134</v>
      </c>
      <c r="B9" s="26">
        <v>44295</v>
      </c>
      <c r="C9" s="25">
        <f t="shared" si="0"/>
        <v>10</v>
      </c>
      <c r="D9" s="25"/>
      <c r="E9" s="25"/>
      <c r="F9" s="25"/>
      <c r="G9" s="25"/>
      <c r="H9" s="25"/>
      <c r="I9" s="25">
        <v>5</v>
      </c>
      <c r="J9" s="25">
        <v>5</v>
      </c>
      <c r="K9" s="25"/>
      <c r="L9" s="25"/>
      <c r="M9" s="25">
        <v>10</v>
      </c>
      <c r="N9" s="25">
        <v>5</v>
      </c>
      <c r="O9" s="25"/>
      <c r="P9" s="25">
        <v>5</v>
      </c>
      <c r="Q9" s="29"/>
      <c r="R9" s="29"/>
      <c r="S9" s="29"/>
      <c r="T9" s="33"/>
      <c r="U9" s="33"/>
    </row>
    <row r="10" spans="1:21">
      <c r="A10" s="25" t="s">
        <v>135</v>
      </c>
      <c r="B10" s="26">
        <v>44279</v>
      </c>
      <c r="C10" s="25">
        <f t="shared" si="0"/>
        <v>0</v>
      </c>
      <c r="D10" s="27">
        <v>25</v>
      </c>
      <c r="E10" s="25"/>
      <c r="F10" s="27"/>
      <c r="G10" s="25"/>
      <c r="H10" s="25"/>
      <c r="I10" s="25"/>
      <c r="J10" s="25"/>
      <c r="K10" s="25"/>
      <c r="L10" s="25"/>
      <c r="M10" s="27">
        <v>15</v>
      </c>
      <c r="N10" s="25"/>
      <c r="O10" s="25"/>
      <c r="P10" s="25"/>
      <c r="Q10" s="29"/>
      <c r="R10" s="29"/>
      <c r="S10" s="29"/>
      <c r="T10" s="33"/>
      <c r="U10" s="33"/>
    </row>
    <row r="11" spans="1:21">
      <c r="A11" s="25" t="s">
        <v>136</v>
      </c>
      <c r="B11" s="26">
        <v>44277</v>
      </c>
      <c r="C11" s="25">
        <f t="shared" si="0"/>
        <v>15</v>
      </c>
      <c r="D11" s="25"/>
      <c r="E11" s="25">
        <v>10</v>
      </c>
      <c r="F11" s="25"/>
      <c r="G11" s="25"/>
      <c r="H11" s="25"/>
      <c r="I11" s="27">
        <v>5</v>
      </c>
      <c r="J11" s="25">
        <v>5</v>
      </c>
      <c r="K11" s="25"/>
      <c r="L11" s="25"/>
      <c r="M11" s="25"/>
      <c r="N11" s="27">
        <v>5</v>
      </c>
      <c r="O11" s="25"/>
      <c r="P11" s="25"/>
      <c r="Q11" s="29"/>
      <c r="R11" s="29"/>
      <c r="S11" s="29"/>
      <c r="T11" s="33"/>
      <c r="U11" s="33"/>
    </row>
    <row r="12" spans="1:21">
      <c r="A12" s="25" t="s">
        <v>137</v>
      </c>
      <c r="B12" s="26">
        <v>44277</v>
      </c>
      <c r="C12" s="25">
        <f t="shared" si="0"/>
        <v>10</v>
      </c>
      <c r="D12" s="27">
        <v>30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9"/>
      <c r="R12" s="29"/>
      <c r="S12" s="29"/>
      <c r="T12" s="33"/>
      <c r="U12" s="33"/>
    </row>
    <row r="13" spans="1:21">
      <c r="A13" s="25" t="s">
        <v>138</v>
      </c>
      <c r="B13" s="26"/>
      <c r="C13" s="25"/>
      <c r="D13" s="27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9"/>
      <c r="R13" s="29"/>
      <c r="S13" s="29"/>
      <c r="T13" s="33"/>
      <c r="U13" s="33"/>
    </row>
    <row r="14" spans="1:21">
      <c r="A14" s="25" t="s">
        <v>139</v>
      </c>
      <c r="B14" s="26"/>
      <c r="C14" s="25"/>
      <c r="D14" s="2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9"/>
      <c r="R14" s="29"/>
      <c r="S14" s="29"/>
      <c r="T14" s="33"/>
      <c r="U14" s="33"/>
    </row>
    <row r="15" spans="1:21">
      <c r="A15" s="25" t="s">
        <v>140</v>
      </c>
      <c r="B15" s="26"/>
      <c r="C15" s="25"/>
      <c r="D15" s="2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9"/>
      <c r="R15" s="29"/>
      <c r="S15" s="29"/>
      <c r="T15" s="33"/>
      <c r="U15" s="33"/>
    </row>
    <row r="16" spans="1:21">
      <c r="A16" s="25" t="s">
        <v>141</v>
      </c>
      <c r="B16" s="26"/>
      <c r="C16" s="25"/>
      <c r="D16" s="27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9"/>
      <c r="R16" s="29"/>
      <c r="S16" s="29"/>
      <c r="T16" s="33"/>
      <c r="U16" s="33"/>
    </row>
    <row r="17" spans="1:21">
      <c r="A17" s="25" t="s">
        <v>142</v>
      </c>
      <c r="B17" s="26"/>
      <c r="C17" s="25"/>
      <c r="D17" s="2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9"/>
      <c r="R17" s="29"/>
      <c r="S17" s="29"/>
      <c r="T17" s="33"/>
      <c r="U17" s="33"/>
    </row>
    <row r="18" spans="1:21">
      <c r="A18" s="25" t="s">
        <v>143</v>
      </c>
      <c r="B18" s="26"/>
      <c r="C18" s="25"/>
      <c r="D18" s="27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9"/>
      <c r="R18" s="29"/>
      <c r="S18" s="29"/>
      <c r="T18" s="33"/>
      <c r="U18" s="33"/>
    </row>
    <row r="19" spans="1:21">
      <c r="A19" s="25" t="s">
        <v>144</v>
      </c>
      <c r="B19" s="26"/>
      <c r="C19" s="25"/>
      <c r="D19" s="27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9"/>
      <c r="R19" s="29"/>
      <c r="S19" s="29"/>
      <c r="T19" s="33"/>
      <c r="U19" s="33"/>
    </row>
    <row r="20" spans="1:21">
      <c r="A20" s="25" t="s">
        <v>145</v>
      </c>
      <c r="B20" s="26"/>
      <c r="C20" s="25"/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9"/>
      <c r="R20" s="29"/>
      <c r="S20" s="29"/>
      <c r="T20" s="33"/>
      <c r="U20" s="33"/>
    </row>
    <row r="21" spans="1:21">
      <c r="A21" s="25" t="s">
        <v>146</v>
      </c>
      <c r="B21" s="26"/>
      <c r="C21" s="25"/>
      <c r="D21" s="27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9"/>
      <c r="R21" s="29"/>
      <c r="S21" s="29"/>
      <c r="T21" s="33"/>
      <c r="U21" s="33"/>
    </row>
    <row r="22" spans="1:21">
      <c r="A22" s="25" t="s">
        <v>147</v>
      </c>
      <c r="B22" s="26"/>
      <c r="C22" s="25"/>
      <c r="D22" s="27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9"/>
      <c r="R22" s="29"/>
      <c r="S22" s="29"/>
      <c r="T22" s="33"/>
      <c r="U22" s="33"/>
    </row>
    <row r="23" spans="1:21">
      <c r="A23" s="25" t="s">
        <v>148</v>
      </c>
      <c r="B23" s="26">
        <v>44232</v>
      </c>
      <c r="C23" s="28"/>
      <c r="D23" s="25">
        <v>80</v>
      </c>
      <c r="E23" s="25">
        <v>45</v>
      </c>
      <c r="F23" s="25"/>
      <c r="G23" s="25">
        <v>5</v>
      </c>
      <c r="H23" s="25">
        <v>15</v>
      </c>
      <c r="I23" s="25">
        <v>20</v>
      </c>
      <c r="J23" s="25"/>
      <c r="K23" s="25">
        <v>10</v>
      </c>
      <c r="L23" s="25">
        <v>5</v>
      </c>
      <c r="M23" s="25">
        <v>20</v>
      </c>
      <c r="N23" s="25">
        <v>25</v>
      </c>
      <c r="O23" s="25">
        <v>20</v>
      </c>
      <c r="P23" s="25">
        <v>25</v>
      </c>
      <c r="Q23" s="25"/>
      <c r="R23" s="25"/>
      <c r="S23" s="25"/>
      <c r="T23" s="34"/>
      <c r="U23" s="34"/>
    </row>
    <row r="24" spans="1:21">
      <c r="A24" t="s">
        <v>149</v>
      </c>
      <c r="D24">
        <f t="shared" ref="D24:T24" si="1">SUM(D5:D12)-D23</f>
        <v>2</v>
      </c>
      <c r="E24">
        <f t="shared" si="1"/>
        <v>-5</v>
      </c>
      <c r="F24">
        <f t="shared" si="1"/>
        <v>0</v>
      </c>
      <c r="G24">
        <f t="shared" si="1"/>
        <v>0</v>
      </c>
      <c r="H24">
        <f t="shared" si="1"/>
        <v>-10</v>
      </c>
      <c r="I24">
        <f t="shared" si="1"/>
        <v>-5</v>
      </c>
      <c r="J24">
        <f t="shared" si="1"/>
        <v>15</v>
      </c>
      <c r="K24">
        <f t="shared" si="1"/>
        <v>-5</v>
      </c>
      <c r="L24">
        <f t="shared" si="1"/>
        <v>-5</v>
      </c>
      <c r="M24">
        <f t="shared" si="1"/>
        <v>30</v>
      </c>
      <c r="N24">
        <f t="shared" si="1"/>
        <v>-5</v>
      </c>
      <c r="O24">
        <f t="shared" si="1"/>
        <v>-20</v>
      </c>
      <c r="P24">
        <f t="shared" si="1"/>
        <v>-10</v>
      </c>
      <c r="Q24">
        <f t="shared" si="1"/>
        <v>0</v>
      </c>
      <c r="R24">
        <f t="shared" si="1"/>
        <v>0</v>
      </c>
      <c r="S24">
        <f t="shared" si="1"/>
        <v>0</v>
      </c>
      <c r="T24">
        <f t="shared" si="1"/>
        <v>0</v>
      </c>
      <c r="U24">
        <f t="shared" ref="U24" si="2">SUM(U5:U12)-U23</f>
        <v>5</v>
      </c>
    </row>
  </sheetData>
  <conditionalFormatting sqref="D24:T24">
    <cfRule type="cellIs" dxfId="11" priority="13" operator="lessThan">
      <formula>0</formula>
    </cfRule>
    <cfRule type="cellIs" dxfId="10" priority="14" operator="greaterThan">
      <formula>0</formula>
    </cfRule>
    <cfRule type="cellIs" dxfId="9" priority="15" operator="equal">
      <formula>0</formula>
    </cfRule>
  </conditionalFormatting>
  <conditionalFormatting sqref="C2 C9:C22 C4:C7">
    <cfRule type="cellIs" dxfId="8" priority="7" operator="lessThan">
      <formula>6</formula>
    </cfRule>
    <cfRule type="cellIs" dxfId="7" priority="8" operator="between">
      <formula>5</formula>
      <formula>10</formula>
    </cfRule>
    <cfRule type="cellIs" dxfId="6" priority="9" operator="greaterThan">
      <formula>10</formula>
    </cfRule>
  </conditionalFormatting>
  <conditionalFormatting sqref="C8">
    <cfRule type="cellIs" dxfId="5" priority="4" operator="lessThan">
      <formula>6</formula>
    </cfRule>
    <cfRule type="cellIs" dxfId="4" priority="5" operator="between">
      <formula>5</formula>
      <formula>10</formula>
    </cfRule>
    <cfRule type="cellIs" dxfId="3" priority="6" operator="greaterThan">
      <formula>10</formula>
    </cfRule>
  </conditionalFormatting>
  <conditionalFormatting sqref="U24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DBCF-29AC-4ECD-A0C7-553D76A6AF21}">
  <dimension ref="A1:A3"/>
  <sheetViews>
    <sheetView workbookViewId="0"/>
  </sheetViews>
  <sheetFormatPr defaultRowHeight="15"/>
  <cols>
    <col min="1" max="1" width="22.28515625" customWidth="1"/>
  </cols>
  <sheetData>
    <row r="1" spans="1:1">
      <c r="A1" t="s">
        <v>2</v>
      </c>
    </row>
    <row r="2" spans="1:1">
      <c r="A2" t="s">
        <v>150</v>
      </c>
    </row>
    <row r="3" spans="1:1">
      <c r="A3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9A43E-CC79-42AE-90ED-3ABB59853871}"/>
</file>

<file path=customXml/itemProps2.xml><?xml version="1.0" encoding="utf-8"?>
<ds:datastoreItem xmlns:ds="http://schemas.openxmlformats.org/officeDocument/2006/customXml" ds:itemID="{7ED3A4D3-00FC-4E4F-852F-2AFE3795D9AA}"/>
</file>

<file path=customXml/itemProps3.xml><?xml version="1.0" encoding="utf-8"?>
<ds:datastoreItem xmlns:ds="http://schemas.openxmlformats.org/officeDocument/2006/customXml" ds:itemID="{7CC4DCD2-8339-400F-9F48-012600F45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Matt Laird</cp:lastModifiedBy>
  <cp:revision/>
  <dcterms:created xsi:type="dcterms:W3CDTF">2015-06-05T18:17:20Z</dcterms:created>
  <dcterms:modified xsi:type="dcterms:W3CDTF">2021-04-12T14:27:13Z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