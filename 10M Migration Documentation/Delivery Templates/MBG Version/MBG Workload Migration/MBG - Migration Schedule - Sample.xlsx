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10thmagnitude.sharepoint.com/sites/10m-migrationcenter/Shared Documents/Delivery Templates/MBG Version/MBG Workload Migration/"/>
    </mc:Choice>
  </mc:AlternateContent>
  <xr:revisionPtr revIDLastSave="444" documentId="8_{F03BC3AE-4DD7-4520-B05D-4D6F3ED59DA0}" xr6:coauthVersionLast="46" xr6:coauthVersionMax="46" xr10:uidLastSave="{B9556EDA-BBD4-415E-85FB-045712BE28AC}"/>
  <bookViews>
    <workbookView xWindow="28680" yWindow="-120" windowWidth="29040" windowHeight="15990" activeTab="1" xr2:uid="{0972704B-2BB7-4135-B4F4-99305AB01B50}"/>
  </bookViews>
  <sheets>
    <sheet name="Sheet1" sheetId="1" r:id="rId1"/>
    <sheet name="Sheet3" sheetId="3" r:id="rId2"/>
    <sheet name="Sheet3 (2)" sheetId="4" r:id="rId3"/>
    <sheet name="Sheet2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21" i="4" l="1"/>
  <c r="V15" i="4"/>
  <c r="Q13" i="4"/>
  <c r="S13" i="4" s="1"/>
  <c r="Q12" i="4"/>
  <c r="S12" i="4" s="1"/>
  <c r="Q11" i="4"/>
  <c r="S11" i="4" s="1"/>
  <c r="Q10" i="4"/>
  <c r="S10" i="4" s="1"/>
  <c r="S14" i="4" l="1"/>
  <c r="R12" i="3"/>
  <c r="T12" i="3" s="1"/>
  <c r="R14" i="3"/>
  <c r="T14" i="3" s="1"/>
  <c r="R15" i="3"/>
  <c r="T15" i="3" s="1"/>
  <c r="R11" i="3"/>
  <c r="T11" i="3" s="1"/>
  <c r="V12" i="4" l="1"/>
  <c r="V16" i="4"/>
  <c r="V11" i="4"/>
  <c r="V10" i="4"/>
  <c r="V13" i="4"/>
  <c r="T21" i="3"/>
  <c r="W11" i="3" l="1"/>
  <c r="W12" i="3"/>
  <c r="W14" i="3" l="1"/>
  <c r="W15" i="3"/>
</calcChain>
</file>

<file path=xl/sharedStrings.xml><?xml version="1.0" encoding="utf-8"?>
<sst xmlns="http://schemas.openxmlformats.org/spreadsheetml/2006/main" count="254" uniqueCount="114">
  <si>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</si>
  <si>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</si>
  <si>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</si>
  <si>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</si>
  <si>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</si>
  <si>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</si>
  <si>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</si>
  <si>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</si>
  <si>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</si>
  <si>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</si>
  <si>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</si>
  <si>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</si>
  <si>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</si>
  <si>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</si>
  <si>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</si>
  <si>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</si>
  <si>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</si>
  <si>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</si>
  <si>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</si>
  <si>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</si>
  <si>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</si>
  <si>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</si>
  <si>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</si>
  <si>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</si>
  <si>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</si>
  <si>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</si>
  <si>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</si>
  <si>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</si>
  <si>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</si>
  <si>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</si>
  <si>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</si>
  <si>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</si>
  <si>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Archeology</t>
  </si>
  <si>
    <t>Review/Replicate</t>
  </si>
  <si>
    <t>Non-Prod</t>
  </si>
  <si>
    <t>Production</t>
  </si>
  <si>
    <t>Support</t>
  </si>
  <si>
    <t>Archeology/Review/Replicate</t>
  </si>
  <si>
    <t>Non-prod</t>
  </si>
  <si>
    <t>Pilot</t>
  </si>
  <si>
    <t>Migration Group 1</t>
  </si>
  <si>
    <t>Migration Group 2</t>
  </si>
  <si>
    <t>Migration Group 3</t>
  </si>
  <si>
    <t>Migration Group 4</t>
  </si>
  <si>
    <t>Migration Group 5</t>
  </si>
  <si>
    <t>Migration Group 6</t>
  </si>
  <si>
    <t>Migration Group 7</t>
  </si>
  <si>
    <t>Migration Group 8</t>
  </si>
  <si>
    <t>Migration Group 9</t>
  </si>
  <si>
    <t>Migration Group 10</t>
  </si>
  <si>
    <t>Migration Group 11</t>
  </si>
  <si>
    <t>Migration Group 12</t>
  </si>
  <si>
    <t>Migration Group 13</t>
  </si>
  <si>
    <t>Migration Group 14</t>
  </si>
  <si>
    <t>Migration Group 15</t>
  </si>
  <si>
    <t>Migration Group 16</t>
  </si>
  <si>
    <t>Migration Group 17</t>
  </si>
  <si>
    <t>Migration Group 18</t>
  </si>
  <si>
    <t>Migration Group 19</t>
  </si>
  <si>
    <t>Migration Group 20</t>
  </si>
  <si>
    <t>Migration Group 21</t>
  </si>
  <si>
    <t>Migration Group 22</t>
  </si>
  <si>
    <t>Migration Group 23</t>
  </si>
  <si>
    <t>asdfasdflkj</t>
  </si>
  <si>
    <t>;lkj;klj</t>
  </si>
  <si>
    <t>;lkj;lkj</t>
  </si>
  <si>
    <t>Tues Thurs</t>
  </si>
  <si>
    <t>Saturday</t>
  </si>
  <si>
    <t>"Small Migration Plan"</t>
  </si>
  <si>
    <t>Architect</t>
  </si>
  <si>
    <t>Mig. Analyst</t>
  </si>
  <si>
    <t>Mig. Engineer</t>
  </si>
  <si>
    <t>Discovery</t>
  </si>
  <si>
    <t>Phase 3 - Support &amp; Cleanup</t>
  </si>
  <si>
    <t>Phase 1</t>
  </si>
  <si>
    <t>Move
Groups</t>
  </si>
  <si>
    <t>Phase 2</t>
  </si>
  <si>
    <t>Migration</t>
  </si>
  <si>
    <t>Phase 3</t>
  </si>
  <si>
    <t>Total</t>
  </si>
  <si>
    <t>Rate</t>
  </si>
  <si>
    <t>Hours</t>
  </si>
  <si>
    <t>Server Count</t>
  </si>
  <si>
    <t>Cost / Server</t>
  </si>
  <si>
    <t>Kick-Off, Planning, Setup, &amp; Discovery</t>
  </si>
  <si>
    <t>Servers 
Migrated</t>
  </si>
  <si>
    <t>Delivery Director</t>
  </si>
  <si>
    <t>20-50</t>
  </si>
  <si>
    <t>10-30</t>
  </si>
  <si>
    <t>20-60</t>
  </si>
  <si>
    <t>40-100</t>
  </si>
  <si>
    <t>60-160</t>
  </si>
  <si>
    <t>Week</t>
  </si>
  <si>
    <t>Server Count under 200</t>
  </si>
  <si>
    <t>Server Count under 50</t>
  </si>
  <si>
    <t>"Super Small Migration Plan"</t>
  </si>
  <si>
    <t>3mo</t>
  </si>
  <si>
    <t>6mo</t>
  </si>
  <si>
    <t>12mo</t>
  </si>
  <si>
    <t>Enterprise</t>
  </si>
  <si>
    <t>SMB</t>
  </si>
  <si>
    <t>up to 50</t>
  </si>
  <si>
    <t>50-200</t>
  </si>
  <si>
    <t>Team Model</t>
  </si>
  <si>
    <t>3 month</t>
  </si>
  <si>
    <t>6 month</t>
  </si>
  <si>
    <t>12 month</t>
  </si>
  <si>
    <t>500+</t>
  </si>
  <si>
    <t>CBA</t>
  </si>
  <si>
    <t>TOM</t>
  </si>
  <si>
    <t>Name</t>
  </si>
  <si>
    <t>Month 1</t>
  </si>
  <si>
    <t>Month 2</t>
  </si>
  <si>
    <t>Program Leadership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</si>
</sst>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49998474074526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137">
    <xf numFmtId="0" fontId="0" fillId="0" borderId="0" xfId="0"/>
    <xf numFmtId="0" fontId="0" fillId="0" borderId="0" xfId="0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wrapText="1"/>
    </xf>
    <xf numFmtId="0" fontId="0" fillId="10" borderId="1" xfId="0" applyFill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0" fontId="0" fillId="6" borderId="0" xfId="0" applyFill="1" applyAlignment="1">
      <alignment wrapText="1"/>
    </xf>
    <xf numFmtId="0" fontId="0" fillId="6" borderId="0" xfId="0" applyFill="1" applyAlignment="1">
      <alignment horizontal="center" wrapText="1"/>
    </xf>
    <xf numFmtId="0" fontId="0" fillId="5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0" borderId="0" xfId="0" applyAlignment="1">
      <alignment horizontal="center" wrapText="1"/>
    </xf>
    <xf numFmtId="0" fontId="2" fillId="11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14" borderId="18" xfId="0" applyNumberFormat="1" applyFill="1" applyBorder="1" applyAlignment="1"/>
    <xf numFmtId="0" fontId="0" fillId="14" borderId="0" xfId="0" applyNumberFormat="1" applyFill="1" applyBorder="1" applyAlignment="1"/>
    <xf numFmtId="0" fontId="0" fillId="0" borderId="0" xfId="0" applyBorder="1"/>
    <xf numFmtId="0" fontId="0" fillId="0" borderId="13" xfId="0" applyBorder="1"/>
    <xf numFmtId="0" fontId="0" fillId="0" borderId="10" xfId="0" applyBorder="1"/>
    <xf numFmtId="0" fontId="0" fillId="0" borderId="10" xfId="0" applyFill="1" applyBorder="1"/>
    <xf numFmtId="0" fontId="0" fillId="14" borderId="10" xfId="0" applyNumberFormat="1" applyFill="1" applyBorder="1" applyAlignment="1"/>
    <xf numFmtId="0" fontId="0" fillId="0" borderId="18" xfId="0" applyBorder="1"/>
    <xf numFmtId="0" fontId="0" fillId="0" borderId="9" xfId="0" applyBorder="1"/>
    <xf numFmtId="0" fontId="0" fillId="7" borderId="20" xfId="0" applyFill="1" applyBorder="1" applyAlignment="1">
      <alignment horizontal="center" vertical="center" wrapText="1"/>
    </xf>
    <xf numFmtId="0" fontId="0" fillId="0" borderId="12" xfId="0" applyBorder="1"/>
    <xf numFmtId="0" fontId="0" fillId="7" borderId="22" xfId="0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8" fillId="15" borderId="23" xfId="0" applyFont="1" applyFill="1" applyBorder="1" applyAlignment="1">
      <alignment horizontal="center"/>
    </xf>
    <xf numFmtId="0" fontId="8" fillId="15" borderId="25" xfId="0" applyFont="1" applyFill="1" applyBorder="1" applyAlignment="1">
      <alignment horizontal="center"/>
    </xf>
    <xf numFmtId="0" fontId="0" fillId="7" borderId="26" xfId="0" applyFill="1" applyBorder="1" applyAlignment="1">
      <alignment horizontal="center" vertical="center" wrapText="1"/>
    </xf>
    <xf numFmtId="0" fontId="0" fillId="7" borderId="27" xfId="0" applyFill="1" applyBorder="1" applyAlignment="1">
      <alignment horizontal="center" vertical="center" wrapText="1"/>
    </xf>
    <xf numFmtId="0" fontId="0" fillId="5" borderId="26" xfId="0" applyFill="1" applyBorder="1" applyAlignment="1">
      <alignment horizontal="center" vertical="center" wrapText="1"/>
    </xf>
    <xf numFmtId="0" fontId="0" fillId="5" borderId="20" xfId="0" applyFill="1" applyBorder="1" applyAlignment="1">
      <alignment horizontal="center" vertical="center" wrapText="1"/>
    </xf>
    <xf numFmtId="0" fontId="0" fillId="5" borderId="27" xfId="0" applyFill="1" applyBorder="1" applyAlignment="1">
      <alignment horizontal="center" vertical="center" wrapText="1"/>
    </xf>
    <xf numFmtId="16" fontId="0" fillId="5" borderId="21" xfId="0" quotePrefix="1" applyNumberForma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44" fontId="0" fillId="0" borderId="13" xfId="1" applyFont="1" applyBorder="1"/>
    <xf numFmtId="44" fontId="0" fillId="0" borderId="12" xfId="1" applyFont="1" applyBorder="1"/>
    <xf numFmtId="44" fontId="0" fillId="0" borderId="0" xfId="1" applyFont="1" applyBorder="1"/>
    <xf numFmtId="44" fontId="0" fillId="0" borderId="10" xfId="1" applyFont="1" applyBorder="1"/>
    <xf numFmtId="0" fontId="8" fillId="8" borderId="17" xfId="0" applyFont="1" applyFill="1" applyBorder="1" applyAlignment="1">
      <alignment horizontal="center"/>
    </xf>
    <xf numFmtId="0" fontId="8" fillId="8" borderId="18" xfId="0" applyFont="1" applyFill="1" applyBorder="1" applyAlignment="1">
      <alignment horizontal="center"/>
    </xf>
    <xf numFmtId="0" fontId="8" fillId="8" borderId="9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5" borderId="28" xfId="0" applyFill="1" applyBorder="1" applyAlignment="1">
      <alignment horizontal="center" vertical="center" wrapText="1"/>
    </xf>
    <xf numFmtId="0" fontId="0" fillId="7" borderId="29" xfId="0" applyFill="1" applyBorder="1" applyAlignment="1">
      <alignment horizontal="center" vertical="center" wrapText="1"/>
    </xf>
    <xf numFmtId="44" fontId="9" fillId="0" borderId="0" xfId="1" applyFont="1"/>
    <xf numFmtId="44" fontId="11" fillId="0" borderId="13" xfId="1" applyFont="1" applyBorder="1"/>
    <xf numFmtId="44" fontId="11" fillId="0" borderId="12" xfId="1" applyFont="1" applyBorder="1"/>
    <xf numFmtId="0" fontId="11" fillId="0" borderId="0" xfId="0" applyFont="1"/>
    <xf numFmtId="0" fontId="0" fillId="0" borderId="11" xfId="0" applyBorder="1" applyAlignment="1">
      <alignment horizontal="center"/>
    </xf>
    <xf numFmtId="0" fontId="0" fillId="0" borderId="0" xfId="0" applyFill="1" applyBorder="1" applyAlignment="1">
      <alignment horizontal="center"/>
    </xf>
    <xf numFmtId="44" fontId="0" fillId="0" borderId="0" xfId="0" applyNumberFormat="1"/>
    <xf numFmtId="0" fontId="0" fillId="0" borderId="0" xfId="0" applyFill="1"/>
    <xf numFmtId="0" fontId="0" fillId="0" borderId="0" xfId="0" applyFill="1" applyBorder="1"/>
    <xf numFmtId="44" fontId="11" fillId="0" borderId="0" xfId="1" applyFont="1" applyBorder="1"/>
    <xf numFmtId="0" fontId="0" fillId="0" borderId="10" xfId="0" applyBorder="1" applyAlignment="1">
      <alignment horizontal="center"/>
    </xf>
    <xf numFmtId="17" fontId="0" fillId="10" borderId="1" xfId="0" applyNumberFormat="1" applyFill="1" applyBorder="1" applyAlignment="1">
      <alignment horizontal="center" wrapText="1"/>
    </xf>
    <xf numFmtId="17" fontId="0" fillId="9" borderId="1" xfId="0" applyNumberForma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center" wrapText="1"/>
    </xf>
    <xf numFmtId="0" fontId="3" fillId="4" borderId="3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0" fontId="3" fillId="4" borderId="5" xfId="0" applyFont="1" applyFill="1" applyBorder="1" applyAlignment="1">
      <alignment horizontal="center" wrapText="1"/>
    </xf>
    <xf numFmtId="0" fontId="3" fillId="5" borderId="3" xfId="0" applyFont="1" applyFill="1" applyBorder="1" applyAlignment="1">
      <alignment horizontal="center" wrapText="1"/>
    </xf>
    <xf numFmtId="0" fontId="3" fillId="5" borderId="4" xfId="0" applyFont="1" applyFill="1" applyBorder="1" applyAlignment="1">
      <alignment horizontal="center" wrapText="1"/>
    </xf>
    <xf numFmtId="0" fontId="3" fillId="5" borderId="5" xfId="0" applyFont="1" applyFill="1" applyBorder="1" applyAlignment="1">
      <alignment horizontal="center" wrapText="1"/>
    </xf>
    <xf numFmtId="0" fontId="3" fillId="7" borderId="3" xfId="0" applyFont="1" applyFill="1" applyBorder="1" applyAlignment="1">
      <alignment horizontal="center" wrapText="1"/>
    </xf>
    <xf numFmtId="0" fontId="3" fillId="7" borderId="4" xfId="0" applyFont="1" applyFill="1" applyBorder="1" applyAlignment="1">
      <alignment horizontal="center" wrapText="1"/>
    </xf>
    <xf numFmtId="0" fontId="3" fillId="7" borderId="5" xfId="0" applyFont="1" applyFill="1" applyBorder="1" applyAlignment="1">
      <alignment horizontal="center" wrapText="1"/>
    </xf>
    <xf numFmtId="0" fontId="3" fillId="8" borderId="3" xfId="0" applyFont="1" applyFill="1" applyBorder="1" applyAlignment="1">
      <alignment horizontal="center" wrapText="1"/>
    </xf>
    <xf numFmtId="0" fontId="3" fillId="8" borderId="4" xfId="0" applyFont="1" applyFill="1" applyBorder="1" applyAlignment="1">
      <alignment horizontal="center" wrapText="1"/>
    </xf>
    <xf numFmtId="0" fontId="3" fillId="8" borderId="5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3" borderId="6" xfId="0" applyFont="1" applyFill="1" applyBorder="1" applyAlignment="1">
      <alignment horizontal="center" wrapText="1"/>
    </xf>
    <xf numFmtId="0" fontId="3" fillId="3" borderId="7" xfId="0" applyFont="1" applyFill="1" applyBorder="1" applyAlignment="1">
      <alignment horizontal="center" wrapText="1"/>
    </xf>
    <xf numFmtId="0" fontId="3" fillId="3" borderId="8" xfId="0" applyFont="1" applyFill="1" applyBorder="1" applyAlignment="1">
      <alignment horizontal="center" wrapText="1"/>
    </xf>
    <xf numFmtId="16" fontId="0" fillId="10" borderId="1" xfId="0" applyNumberFormat="1" applyFill="1" applyBorder="1" applyAlignment="1">
      <alignment horizontal="center" wrapText="1"/>
    </xf>
    <xf numFmtId="0" fontId="0" fillId="6" borderId="0" xfId="0" applyFill="1" applyAlignment="1">
      <alignment horizontal="center" wrapText="1"/>
    </xf>
    <xf numFmtId="0" fontId="0" fillId="0" borderId="1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0" fillId="3" borderId="28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3" fillId="5" borderId="6" xfId="0" applyFont="1" applyFill="1" applyBorder="1" applyAlignment="1">
      <alignment horizontal="center" wrapText="1"/>
    </xf>
    <xf numFmtId="0" fontId="3" fillId="5" borderId="7" xfId="0" applyFont="1" applyFill="1" applyBorder="1" applyAlignment="1">
      <alignment horizontal="center" wrapText="1"/>
    </xf>
    <xf numFmtId="0" fontId="3" fillId="5" borderId="8" xfId="0" applyFont="1" applyFill="1" applyBorder="1" applyAlignment="1">
      <alignment horizontal="center" wrapText="1"/>
    </xf>
    <xf numFmtId="0" fontId="3" fillId="7" borderId="6" xfId="0" applyFont="1" applyFill="1" applyBorder="1" applyAlignment="1">
      <alignment horizontal="center" wrapText="1"/>
    </xf>
    <xf numFmtId="0" fontId="3" fillId="7" borderId="7" xfId="0" applyFont="1" applyFill="1" applyBorder="1" applyAlignment="1">
      <alignment horizontal="center" wrapText="1"/>
    </xf>
    <xf numFmtId="0" fontId="3" fillId="7" borderId="8" xfId="0" applyFont="1" applyFill="1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8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NumberFormat="1" applyFill="1" applyBorder="1" applyAlignment="1"/>
    <xf numFmtId="0" fontId="0" fillId="0" borderId="10" xfId="0" applyNumberFormat="1" applyFill="1" applyBorder="1" applyAlignment="1"/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704169</xdr:colOff>
      <xdr:row>6</xdr:row>
      <xdr:rowOff>40821</xdr:rowOff>
    </xdr:from>
    <xdr:to>
      <xdr:col>15</xdr:col>
      <xdr:colOff>770504</xdr:colOff>
      <xdr:row>47</xdr:row>
      <xdr:rowOff>191860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94AD27F-3CDF-43B7-A52B-CD4B0B5A1940}"/>
            </a:ext>
          </a:extLst>
        </xdr:cNvPr>
        <xdr:cNvCxnSpPr/>
      </xdr:nvCxnSpPr>
      <xdr:spPr>
        <a:xfrm flipH="1">
          <a:off x="17645062" y="1292678"/>
          <a:ext cx="66335" cy="8886825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57150</xdr:colOff>
      <xdr:row>0</xdr:row>
      <xdr:rowOff>47625</xdr:rowOff>
    </xdr:from>
    <xdr:to>
      <xdr:col>1</xdr:col>
      <xdr:colOff>816083</xdr:colOff>
      <xdr:row>0</xdr:row>
      <xdr:rowOff>312185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9B1C042-43F8-4829-B518-DCED72D5AA2C}"/>
            </a:ext>
          </a:extLst>
        </xdr:cNvPr>
        <xdr:cNvSpPr txBox="1"/>
      </xdr:nvSpPr>
      <xdr:spPr>
        <a:xfrm>
          <a:off x="57150" y="47625"/>
          <a:ext cx="93038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100">
              <a:solidFill>
                <a:schemeClr val="accent2"/>
              </a:solidFill>
            </a:rPr>
            <a:t>We are here.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59373-69CC-453D-B5DA-FA9C3D1E2A65}">
  <dimension ref="B1:AJ96"/>
  <sheetViews>
    <sheetView showGridLines="0" zoomScale="70" zoomScaleNormal="70" workbookViewId="0">
      <pane ySplit="3" topLeftCell="A4" activePane="bottomLeft" state="frozen"/>
      <selection pane="bottomLeft" activeCell="G14" sqref="G14:G15"/>
    </sheetView>
  </sheetViews>
  <sheetFormatPr defaultColWidth="13.28515625" defaultRowHeight="15" x14ac:dyDescent="0.25"/>
  <cols>
    <col min="1" max="1" width="2.5703125" customWidth="1"/>
    <col min="2" max="33" width="17.85546875" style="6" customWidth="1"/>
  </cols>
  <sheetData>
    <row r="1" spans="2:36" ht="22.5" customHeight="1" x14ac:dyDescent="0.25"/>
    <row r="2" spans="2:36" x14ac:dyDescent="0.25">
      <c r="B2" s="79">
        <v>44013</v>
      </c>
      <c r="C2" s="79"/>
      <c r="D2" s="79"/>
      <c r="E2" s="79"/>
      <c r="F2" s="78">
        <v>44044</v>
      </c>
      <c r="G2" s="78"/>
      <c r="H2" s="78"/>
      <c r="I2" s="78"/>
      <c r="J2" s="79">
        <v>44075</v>
      </c>
      <c r="K2" s="79"/>
      <c r="L2" s="79"/>
      <c r="M2" s="79"/>
      <c r="N2" s="78">
        <v>44105</v>
      </c>
      <c r="O2" s="78"/>
      <c r="P2" s="78"/>
      <c r="Q2" s="78"/>
      <c r="R2" s="79">
        <v>44136</v>
      </c>
      <c r="S2" s="79"/>
      <c r="T2" s="79"/>
      <c r="U2" s="79"/>
      <c r="V2" s="78">
        <v>44166</v>
      </c>
      <c r="W2" s="78"/>
      <c r="X2" s="78"/>
      <c r="Y2" s="78"/>
      <c r="Z2" s="79">
        <v>44197</v>
      </c>
      <c r="AA2" s="79"/>
      <c r="AB2" s="79"/>
      <c r="AC2" s="79"/>
      <c r="AD2" s="104">
        <v>44228</v>
      </c>
      <c r="AE2" s="104"/>
      <c r="AF2" s="104"/>
      <c r="AG2" s="104"/>
    </row>
    <row r="3" spans="2:36" x14ac:dyDescent="0.25">
      <c r="B3" s="4" t="s">
        <v>0</v>
      </c>
      <c r="C3" s="4" t="s">
        <v>1</v>
      </c>
      <c r="D3" s="4" t="s">
        <v>2</v>
      </c>
      <c r="E3" s="4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5" t="s">
        <v>12</v>
      </c>
      <c r="O3" s="5" t="s">
        <v>13</v>
      </c>
      <c r="P3" s="5" t="s">
        <v>14</v>
      </c>
      <c r="Q3" s="5" t="s">
        <v>15</v>
      </c>
      <c r="R3" s="4" t="s">
        <v>16</v>
      </c>
      <c r="S3" s="4" t="s">
        <v>17</v>
      </c>
      <c r="T3" s="4" t="s">
        <v>18</v>
      </c>
      <c r="U3" s="4" t="s">
        <v>19</v>
      </c>
      <c r="V3" s="5" t="s">
        <v>20</v>
      </c>
      <c r="W3" s="5" t="s">
        <v>21</v>
      </c>
      <c r="X3" s="5" t="s">
        <v>22</v>
      </c>
      <c r="Y3" s="5" t="s">
        <v>23</v>
      </c>
      <c r="Z3" s="4" t="s">
        <v>24</v>
      </c>
      <c r="AA3" s="4" t="s">
        <v>25</v>
      </c>
      <c r="AB3" s="4" t="s">
        <v>26</v>
      </c>
      <c r="AC3" s="4" t="s">
        <v>27</v>
      </c>
      <c r="AD3" s="5" t="s">
        <v>28</v>
      </c>
      <c r="AE3" s="5" t="s">
        <v>29</v>
      </c>
      <c r="AF3" s="5" t="s">
        <v>30</v>
      </c>
      <c r="AG3" s="5" t="s">
        <v>31</v>
      </c>
    </row>
    <row r="4" spans="2:36" ht="15" customHeight="1" thickBot="1" x14ac:dyDescent="0.3"/>
    <row r="5" spans="2:36" ht="15.75" thickBot="1" x14ac:dyDescent="0.3">
      <c r="C5" s="80" t="s">
        <v>39</v>
      </c>
      <c r="D5" s="81"/>
      <c r="E5" s="81"/>
      <c r="F5" s="81"/>
      <c r="G5" s="82"/>
    </row>
    <row r="6" spans="2:36" x14ac:dyDescent="0.25">
      <c r="C6" s="22" t="s">
        <v>32</v>
      </c>
      <c r="D6" s="22" t="s">
        <v>33</v>
      </c>
      <c r="E6" s="2" t="s">
        <v>34</v>
      </c>
      <c r="F6" s="2" t="s">
        <v>35</v>
      </c>
      <c r="G6" s="2" t="s">
        <v>36</v>
      </c>
    </row>
    <row r="7" spans="2:36" ht="7.5" customHeight="1" thickBot="1" x14ac:dyDescent="0.3"/>
    <row r="8" spans="2:36" ht="15.75" thickBot="1" x14ac:dyDescent="0.3">
      <c r="E8" s="101" t="s">
        <v>40</v>
      </c>
      <c r="F8" s="102"/>
      <c r="G8" s="102"/>
      <c r="H8" s="102"/>
      <c r="I8" s="103"/>
      <c r="J8" s="27"/>
    </row>
    <row r="9" spans="2:36" x14ac:dyDescent="0.25">
      <c r="E9" s="23" t="s">
        <v>32</v>
      </c>
      <c r="F9" s="23" t="s">
        <v>33</v>
      </c>
      <c r="G9" s="3" t="s">
        <v>34</v>
      </c>
      <c r="H9" s="3" t="s">
        <v>35</v>
      </c>
      <c r="I9" s="3" t="s">
        <v>36</v>
      </c>
      <c r="J9" s="28" t="s">
        <v>36</v>
      </c>
    </row>
    <row r="10" spans="2:36" ht="7.5" customHeight="1" thickBot="1" x14ac:dyDescent="0.3"/>
    <row r="11" spans="2:36" ht="15.75" thickBot="1" x14ac:dyDescent="0.3">
      <c r="G11" s="86" t="s">
        <v>41</v>
      </c>
      <c r="H11" s="87"/>
      <c r="I11" s="87"/>
      <c r="J11" s="88"/>
      <c r="AH11" s="6"/>
    </row>
    <row r="12" spans="2:36" ht="25.5" x14ac:dyDescent="0.25">
      <c r="G12" s="19" t="s">
        <v>37</v>
      </c>
      <c r="H12" s="11" t="s">
        <v>38</v>
      </c>
      <c r="I12" s="11" t="s">
        <v>35</v>
      </c>
      <c r="J12" s="11" t="s">
        <v>36</v>
      </c>
      <c r="AH12" s="6"/>
    </row>
    <row r="13" spans="2:36" ht="7.5" customHeight="1" thickBot="1" x14ac:dyDescent="0.3">
      <c r="AH13" s="6"/>
    </row>
    <row r="14" spans="2:36" ht="15.75" thickBot="1" x14ac:dyDescent="0.3">
      <c r="J14" s="89" t="s">
        <v>42</v>
      </c>
      <c r="K14" s="90"/>
      <c r="L14" s="90"/>
      <c r="M14" s="91"/>
      <c r="AH14" s="6"/>
      <c r="AI14" s="6"/>
      <c r="AJ14" s="6"/>
    </row>
    <row r="15" spans="2:36" ht="25.5" x14ac:dyDescent="0.25">
      <c r="J15" s="18" t="s">
        <v>37</v>
      </c>
      <c r="K15" s="10" t="s">
        <v>38</v>
      </c>
      <c r="L15" s="10" t="s">
        <v>35</v>
      </c>
      <c r="M15" s="10" t="s">
        <v>36</v>
      </c>
      <c r="AH15" s="6"/>
      <c r="AI15" s="6"/>
      <c r="AJ15" s="6"/>
    </row>
    <row r="16" spans="2:36" ht="7.5" customHeight="1" thickBot="1" x14ac:dyDescent="0.3">
      <c r="AH16" s="6"/>
    </row>
    <row r="17" spans="9:34" ht="15.75" thickBot="1" x14ac:dyDescent="0.3">
      <c r="I17" s="92" t="s">
        <v>43</v>
      </c>
      <c r="J17" s="93"/>
      <c r="K17" s="93"/>
      <c r="L17" s="94"/>
      <c r="AH17" s="6"/>
    </row>
    <row r="18" spans="9:34" ht="25.5" x14ac:dyDescent="0.25">
      <c r="I18" s="17" t="s">
        <v>37</v>
      </c>
      <c r="J18" s="12" t="s">
        <v>38</v>
      </c>
      <c r="K18" s="12" t="s">
        <v>35</v>
      </c>
      <c r="L18" s="12" t="s">
        <v>36</v>
      </c>
      <c r="M18" s="1"/>
      <c r="N18" s="1"/>
      <c r="AH18" s="6"/>
    </row>
    <row r="19" spans="9:34" ht="7.5" customHeight="1" thickBot="1" x14ac:dyDescent="0.3">
      <c r="AH19" s="6"/>
    </row>
    <row r="20" spans="9:34" ht="15.75" thickBot="1" x14ac:dyDescent="0.3">
      <c r="J20" s="95" t="s">
        <v>44</v>
      </c>
      <c r="K20" s="96"/>
      <c r="L20" s="96"/>
      <c r="M20" s="97"/>
      <c r="AH20" s="6"/>
    </row>
    <row r="21" spans="9:34" ht="25.5" x14ac:dyDescent="0.25">
      <c r="J21" s="16" t="s">
        <v>37</v>
      </c>
      <c r="K21" s="13" t="s">
        <v>38</v>
      </c>
      <c r="L21" s="13" t="s">
        <v>35</v>
      </c>
      <c r="M21" s="13" t="s">
        <v>36</v>
      </c>
      <c r="AH21" s="6"/>
    </row>
    <row r="22" spans="9:34" ht="7.5" customHeight="1" thickBot="1" x14ac:dyDescent="0.3">
      <c r="AH22" s="6"/>
    </row>
    <row r="23" spans="9:34" ht="15.75" thickBot="1" x14ac:dyDescent="0.3">
      <c r="K23" s="98" t="s">
        <v>45</v>
      </c>
      <c r="L23" s="99"/>
      <c r="M23" s="99"/>
      <c r="N23" s="100"/>
      <c r="AH23" s="6"/>
    </row>
    <row r="24" spans="9:34" ht="25.5" x14ac:dyDescent="0.25">
      <c r="K24" s="21" t="s">
        <v>37</v>
      </c>
      <c r="L24" s="14" t="s">
        <v>38</v>
      </c>
      <c r="M24" s="14" t="s">
        <v>35</v>
      </c>
      <c r="N24" s="14" t="s">
        <v>36</v>
      </c>
      <c r="AH24" s="6"/>
    </row>
    <row r="25" spans="9:34" ht="11.25" customHeight="1" thickBot="1" x14ac:dyDescent="0.3">
      <c r="AH25" s="6"/>
    </row>
    <row r="26" spans="9:34" ht="15.75" thickBot="1" x14ac:dyDescent="0.3">
      <c r="L26" s="83" t="s">
        <v>46</v>
      </c>
      <c r="M26" s="84"/>
      <c r="N26" s="84"/>
      <c r="O26" s="85"/>
      <c r="AH26" s="6"/>
    </row>
    <row r="27" spans="9:34" ht="25.5" x14ac:dyDescent="0.25">
      <c r="L27" s="20" t="s">
        <v>37</v>
      </c>
      <c r="M27" s="15" t="s">
        <v>38</v>
      </c>
      <c r="N27" s="15" t="s">
        <v>35</v>
      </c>
      <c r="O27" s="15" t="s">
        <v>36</v>
      </c>
      <c r="AH27" s="6"/>
    </row>
    <row r="28" spans="9:34" ht="11.25" customHeight="1" thickBot="1" x14ac:dyDescent="0.3">
      <c r="AH28" s="6"/>
    </row>
    <row r="29" spans="9:34" ht="15.75" thickBot="1" x14ac:dyDescent="0.3">
      <c r="M29" s="86" t="s">
        <v>47</v>
      </c>
      <c r="N29" s="87"/>
      <c r="O29" s="87"/>
      <c r="P29" s="88"/>
      <c r="AH29" s="6"/>
    </row>
    <row r="30" spans="9:34" ht="25.5" x14ac:dyDescent="0.25">
      <c r="M30" s="19" t="s">
        <v>37</v>
      </c>
      <c r="N30" s="11" t="s">
        <v>38</v>
      </c>
      <c r="O30" s="11" t="s">
        <v>35</v>
      </c>
      <c r="P30" s="11" t="s">
        <v>36</v>
      </c>
      <c r="AH30" s="6"/>
    </row>
    <row r="31" spans="9:34" ht="11.25" customHeight="1" thickBot="1" x14ac:dyDescent="0.3">
      <c r="AH31" s="6"/>
    </row>
    <row r="32" spans="9:34" ht="15.75" thickBot="1" x14ac:dyDescent="0.3">
      <c r="N32" s="89" t="s">
        <v>48</v>
      </c>
      <c r="O32" s="90"/>
      <c r="P32" s="90"/>
      <c r="Q32" s="91"/>
      <c r="AH32" s="6"/>
    </row>
    <row r="33" spans="14:34" ht="25.5" x14ac:dyDescent="0.25">
      <c r="N33" s="18" t="s">
        <v>37</v>
      </c>
      <c r="O33" s="10" t="s">
        <v>38</v>
      </c>
      <c r="P33" s="10" t="s">
        <v>35</v>
      </c>
      <c r="Q33" s="10" t="s">
        <v>36</v>
      </c>
      <c r="AH33" s="6"/>
    </row>
    <row r="34" spans="14:34" ht="11.25" customHeight="1" thickBot="1" x14ac:dyDescent="0.3">
      <c r="AH34" s="6"/>
    </row>
    <row r="35" spans="14:34" ht="15.75" thickBot="1" x14ac:dyDescent="0.3">
      <c r="O35" s="92" t="s">
        <v>49</v>
      </c>
      <c r="P35" s="93"/>
      <c r="Q35" s="93"/>
      <c r="R35" s="94"/>
      <c r="AH35" s="6"/>
    </row>
    <row r="36" spans="14:34" ht="25.5" x14ac:dyDescent="0.25">
      <c r="O36" s="17" t="s">
        <v>37</v>
      </c>
      <c r="P36" s="12" t="s">
        <v>38</v>
      </c>
      <c r="Q36" s="12" t="s">
        <v>35</v>
      </c>
      <c r="R36" s="12" t="s">
        <v>36</v>
      </c>
      <c r="AH36" s="6"/>
    </row>
    <row r="37" spans="14:34" ht="11.25" customHeight="1" thickBot="1" x14ac:dyDescent="0.3">
      <c r="AH37" s="6"/>
    </row>
    <row r="38" spans="14:34" ht="15.75" thickBot="1" x14ac:dyDescent="0.3">
      <c r="P38" s="95" t="s">
        <v>50</v>
      </c>
      <c r="Q38" s="96"/>
      <c r="R38" s="96"/>
      <c r="S38" s="97"/>
      <c r="AH38" s="6"/>
    </row>
    <row r="39" spans="14:34" ht="25.5" x14ac:dyDescent="0.25">
      <c r="P39" s="16" t="s">
        <v>37</v>
      </c>
      <c r="Q39" s="13" t="s">
        <v>38</v>
      </c>
      <c r="R39" s="13" t="s">
        <v>35</v>
      </c>
      <c r="S39" s="13" t="s">
        <v>36</v>
      </c>
      <c r="AH39" s="6"/>
    </row>
    <row r="40" spans="14:34" ht="11.25" customHeight="1" thickBot="1" x14ac:dyDescent="0.3">
      <c r="AH40" s="6"/>
    </row>
    <row r="41" spans="14:34" ht="15.75" thickBot="1" x14ac:dyDescent="0.3">
      <c r="Q41" s="98" t="s">
        <v>51</v>
      </c>
      <c r="R41" s="99"/>
      <c r="S41" s="99"/>
      <c r="T41" s="100"/>
      <c r="AH41" s="6"/>
    </row>
    <row r="42" spans="14:34" ht="25.5" x14ac:dyDescent="0.25">
      <c r="Q42" s="21" t="s">
        <v>37</v>
      </c>
      <c r="R42" s="14" t="s">
        <v>38</v>
      </c>
      <c r="S42" s="14" t="s">
        <v>35</v>
      </c>
      <c r="T42" s="14" t="s">
        <v>36</v>
      </c>
      <c r="AH42" s="6"/>
    </row>
    <row r="43" spans="14:34" ht="11.25" customHeight="1" thickBot="1" x14ac:dyDescent="0.3">
      <c r="AH43" s="6"/>
    </row>
    <row r="44" spans="14:34" ht="15.75" thickBot="1" x14ac:dyDescent="0.3">
      <c r="R44" s="83" t="s">
        <v>52</v>
      </c>
      <c r="S44" s="84"/>
      <c r="T44" s="84"/>
      <c r="U44" s="85"/>
      <c r="AH44" s="6"/>
    </row>
    <row r="45" spans="14:34" ht="25.5" x14ac:dyDescent="0.25">
      <c r="R45" s="20" t="s">
        <v>37</v>
      </c>
      <c r="S45" s="15" t="s">
        <v>38</v>
      </c>
      <c r="T45" s="15" t="s">
        <v>35</v>
      </c>
      <c r="U45" s="15" t="s">
        <v>36</v>
      </c>
      <c r="AH45" s="6"/>
    </row>
    <row r="46" spans="14:34" ht="11.25" customHeight="1" thickBot="1" x14ac:dyDescent="0.3">
      <c r="AH46" s="6"/>
    </row>
    <row r="47" spans="14:34" ht="15.75" thickBot="1" x14ac:dyDescent="0.3">
      <c r="S47" s="86" t="s">
        <v>53</v>
      </c>
      <c r="T47" s="87"/>
      <c r="U47" s="87"/>
      <c r="V47" s="88"/>
      <c r="AH47" s="6"/>
    </row>
    <row r="48" spans="14:34" ht="25.5" x14ac:dyDescent="0.25">
      <c r="S48" s="19" t="s">
        <v>37</v>
      </c>
      <c r="T48" s="11" t="s">
        <v>38</v>
      </c>
      <c r="U48" s="11" t="s">
        <v>35</v>
      </c>
      <c r="V48" s="11" t="s">
        <v>36</v>
      </c>
      <c r="AH48" s="6"/>
    </row>
    <row r="49" spans="19:34" ht="11.25" customHeight="1" thickBot="1" x14ac:dyDescent="0.3">
      <c r="S49" s="7"/>
      <c r="T49" s="7"/>
      <c r="U49" s="7"/>
      <c r="V49" s="7"/>
      <c r="AH49" s="6"/>
    </row>
    <row r="50" spans="19:34" ht="15.75" thickBot="1" x14ac:dyDescent="0.3">
      <c r="T50" s="89" t="s">
        <v>54</v>
      </c>
      <c r="U50" s="90"/>
      <c r="V50" s="90"/>
      <c r="W50" s="91"/>
      <c r="AH50" s="6"/>
    </row>
    <row r="51" spans="19:34" ht="25.5" x14ac:dyDescent="0.25">
      <c r="T51" s="18" t="s">
        <v>37</v>
      </c>
      <c r="U51" s="10" t="s">
        <v>38</v>
      </c>
      <c r="V51" s="10" t="s">
        <v>35</v>
      </c>
      <c r="W51" s="10" t="s">
        <v>36</v>
      </c>
      <c r="AH51" s="6"/>
    </row>
    <row r="52" spans="19:34" ht="11.25" customHeight="1" thickBot="1" x14ac:dyDescent="0.3">
      <c r="AH52" s="6"/>
    </row>
    <row r="53" spans="19:34" ht="15.75" thickBot="1" x14ac:dyDescent="0.3">
      <c r="U53" s="92" t="s">
        <v>55</v>
      </c>
      <c r="V53" s="93"/>
      <c r="W53" s="93"/>
      <c r="X53" s="94"/>
      <c r="AH53" s="6"/>
    </row>
    <row r="54" spans="19:34" ht="25.5" x14ac:dyDescent="0.25">
      <c r="U54" s="17" t="s">
        <v>37</v>
      </c>
      <c r="V54" s="12" t="s">
        <v>38</v>
      </c>
      <c r="W54" s="12" t="s">
        <v>35</v>
      </c>
      <c r="X54" s="12" t="s">
        <v>36</v>
      </c>
      <c r="AH54" s="6"/>
    </row>
    <row r="55" spans="19:34" ht="11.25" customHeight="1" thickBot="1" x14ac:dyDescent="0.3">
      <c r="AH55" s="6"/>
    </row>
    <row r="56" spans="19:34" ht="15.75" thickBot="1" x14ac:dyDescent="0.3">
      <c r="V56" s="95" t="s">
        <v>56</v>
      </c>
      <c r="W56" s="96"/>
      <c r="X56" s="96"/>
      <c r="Y56" s="97"/>
      <c r="AH56" s="6"/>
    </row>
    <row r="57" spans="19:34" ht="25.5" x14ac:dyDescent="0.25">
      <c r="V57" s="16" t="s">
        <v>37</v>
      </c>
      <c r="W57" s="13" t="s">
        <v>38</v>
      </c>
      <c r="X57" s="13" t="s">
        <v>35</v>
      </c>
      <c r="Y57" s="13" t="s">
        <v>36</v>
      </c>
      <c r="AH57" s="6"/>
    </row>
    <row r="58" spans="19:34" ht="11.25" customHeight="1" thickBot="1" x14ac:dyDescent="0.3">
      <c r="AH58" s="6"/>
    </row>
    <row r="59" spans="19:34" ht="15.75" thickBot="1" x14ac:dyDescent="0.3">
      <c r="W59" s="98" t="s">
        <v>57</v>
      </c>
      <c r="X59" s="99"/>
      <c r="Y59" s="99"/>
      <c r="Z59" s="100"/>
      <c r="AH59" s="6"/>
    </row>
    <row r="60" spans="19:34" ht="25.5" x14ac:dyDescent="0.25">
      <c r="W60" s="21" t="s">
        <v>37</v>
      </c>
      <c r="X60" s="14" t="s">
        <v>38</v>
      </c>
      <c r="Y60" s="14" t="s">
        <v>35</v>
      </c>
      <c r="Z60" s="14" t="s">
        <v>36</v>
      </c>
      <c r="AH60" s="6"/>
    </row>
    <row r="61" spans="19:34" ht="11.25" customHeight="1" thickBot="1" x14ac:dyDescent="0.3">
      <c r="AH61" s="6"/>
    </row>
    <row r="62" spans="19:34" ht="15.75" thickBot="1" x14ac:dyDescent="0.3">
      <c r="X62" s="83" t="s">
        <v>58</v>
      </c>
      <c r="Y62" s="84"/>
      <c r="Z62" s="84"/>
      <c r="AA62" s="85"/>
      <c r="AH62" s="6"/>
    </row>
    <row r="63" spans="19:34" ht="25.5" x14ac:dyDescent="0.25">
      <c r="X63" s="20" t="s">
        <v>37</v>
      </c>
      <c r="Y63" s="15" t="s">
        <v>38</v>
      </c>
      <c r="Z63" s="15" t="s">
        <v>35</v>
      </c>
      <c r="AA63" s="15" t="s">
        <v>36</v>
      </c>
      <c r="AH63" s="6"/>
    </row>
    <row r="64" spans="19:34" ht="11.25" customHeight="1" thickBot="1" x14ac:dyDescent="0.3">
      <c r="AH64" s="6"/>
    </row>
    <row r="65" spans="25:34" ht="15.75" thickBot="1" x14ac:dyDescent="0.3">
      <c r="Y65" s="86" t="s">
        <v>59</v>
      </c>
      <c r="Z65" s="87"/>
      <c r="AA65" s="87"/>
      <c r="AB65" s="88"/>
      <c r="AH65" s="6"/>
    </row>
    <row r="66" spans="25:34" ht="25.5" x14ac:dyDescent="0.25">
      <c r="Y66" s="19" t="s">
        <v>37</v>
      </c>
      <c r="Z66" s="11" t="s">
        <v>38</v>
      </c>
      <c r="AA66" s="11" t="s">
        <v>35</v>
      </c>
      <c r="AB66" s="11" t="s">
        <v>36</v>
      </c>
      <c r="AH66" s="6"/>
    </row>
    <row r="67" spans="25:34" ht="11.25" customHeight="1" thickBot="1" x14ac:dyDescent="0.3">
      <c r="AH67" s="6"/>
    </row>
    <row r="68" spans="25:34" ht="15.75" thickBot="1" x14ac:dyDescent="0.3">
      <c r="Z68" s="89" t="s">
        <v>60</v>
      </c>
      <c r="AA68" s="90"/>
      <c r="AB68" s="90"/>
      <c r="AC68" s="91"/>
      <c r="AH68" s="6"/>
    </row>
    <row r="69" spans="25:34" ht="25.5" x14ac:dyDescent="0.25">
      <c r="Z69" s="18" t="s">
        <v>37</v>
      </c>
      <c r="AA69" s="10" t="s">
        <v>38</v>
      </c>
      <c r="AB69" s="10" t="s">
        <v>35</v>
      </c>
      <c r="AC69" s="10" t="s">
        <v>36</v>
      </c>
      <c r="AH69" s="6"/>
    </row>
    <row r="70" spans="25:34" ht="11.25" customHeight="1" thickBot="1" x14ac:dyDescent="0.3">
      <c r="AH70" s="6"/>
    </row>
    <row r="71" spans="25:34" ht="15.75" thickBot="1" x14ac:dyDescent="0.3">
      <c r="AA71" s="92" t="s">
        <v>61</v>
      </c>
      <c r="AB71" s="93"/>
      <c r="AC71" s="93"/>
      <c r="AD71" s="94"/>
      <c r="AH71" s="6"/>
    </row>
    <row r="72" spans="25:34" ht="25.5" x14ac:dyDescent="0.25">
      <c r="AA72" s="17" t="s">
        <v>37</v>
      </c>
      <c r="AB72" s="12" t="s">
        <v>38</v>
      </c>
      <c r="AC72" s="12" t="s">
        <v>35</v>
      </c>
      <c r="AD72" s="12" t="s">
        <v>36</v>
      </c>
      <c r="AH72" s="6"/>
    </row>
    <row r="73" spans="25:34" ht="11.25" customHeight="1" thickBot="1" x14ac:dyDescent="0.3">
      <c r="AH73" s="6"/>
    </row>
    <row r="74" spans="25:34" ht="15.75" thickBot="1" x14ac:dyDescent="0.3">
      <c r="AB74" s="95" t="s">
        <v>62</v>
      </c>
      <c r="AC74" s="96"/>
      <c r="AD74" s="96"/>
      <c r="AE74" s="97"/>
      <c r="AH74" s="6"/>
    </row>
    <row r="75" spans="25:34" ht="25.5" x14ac:dyDescent="0.25">
      <c r="AB75" s="16" t="s">
        <v>37</v>
      </c>
      <c r="AC75" s="13" t="s">
        <v>38</v>
      </c>
      <c r="AD75" s="13" t="s">
        <v>35</v>
      </c>
      <c r="AE75" s="13" t="s">
        <v>36</v>
      </c>
      <c r="AH75" s="6"/>
    </row>
    <row r="76" spans="25:34" x14ac:dyDescent="0.25">
      <c r="AH76" s="6"/>
    </row>
    <row r="77" spans="25:34" x14ac:dyDescent="0.25">
      <c r="AH77" s="6"/>
    </row>
    <row r="78" spans="25:34" x14ac:dyDescent="0.25">
      <c r="AH78" s="6"/>
    </row>
    <row r="79" spans="25:34" x14ac:dyDescent="0.25">
      <c r="AH79" s="6"/>
    </row>
    <row r="80" spans="25:34" x14ac:dyDescent="0.25">
      <c r="AH80" s="6"/>
    </row>
    <row r="81" spans="25:34" x14ac:dyDescent="0.25">
      <c r="AH81" s="6"/>
    </row>
    <row r="82" spans="25:34" x14ac:dyDescent="0.25">
      <c r="AH82" s="6"/>
    </row>
    <row r="83" spans="25:34" x14ac:dyDescent="0.25">
      <c r="AH83" s="6"/>
    </row>
    <row r="89" spans="25:34" x14ac:dyDescent="0.25">
      <c r="Y89" s="105"/>
      <c r="Z89" s="105"/>
      <c r="AA89" s="105"/>
      <c r="AB89" s="105"/>
    </row>
    <row r="90" spans="25:34" x14ac:dyDescent="0.25">
      <c r="Y90" s="8"/>
      <c r="Z90" s="8"/>
      <c r="AA90" s="8"/>
      <c r="AB90" s="8"/>
    </row>
    <row r="95" spans="25:34" x14ac:dyDescent="0.25">
      <c r="AB95" s="8"/>
    </row>
    <row r="96" spans="25:34" x14ac:dyDescent="0.25">
      <c r="AA96" s="9"/>
    </row>
  </sheetData>
  <mergeCells count="33">
    <mergeCell ref="E8:I8"/>
    <mergeCell ref="AD2:AG2"/>
    <mergeCell ref="S47:V47"/>
    <mergeCell ref="T50:W50"/>
    <mergeCell ref="Y89:AB89"/>
    <mergeCell ref="AA71:AD71"/>
    <mergeCell ref="AB74:AE74"/>
    <mergeCell ref="R44:U44"/>
    <mergeCell ref="Z68:AC68"/>
    <mergeCell ref="U53:X53"/>
    <mergeCell ref="V56:Y56"/>
    <mergeCell ref="W59:Z59"/>
    <mergeCell ref="J14:M14"/>
    <mergeCell ref="G11:J11"/>
    <mergeCell ref="I17:L17"/>
    <mergeCell ref="J20:M20"/>
    <mergeCell ref="K23:N23"/>
    <mergeCell ref="N2:Q2"/>
    <mergeCell ref="R2:U2"/>
    <mergeCell ref="L26:O26"/>
    <mergeCell ref="M29:P29"/>
    <mergeCell ref="X62:AA62"/>
    <mergeCell ref="Y65:AB65"/>
    <mergeCell ref="N32:Q32"/>
    <mergeCell ref="O35:R35"/>
    <mergeCell ref="P38:S38"/>
    <mergeCell ref="Q41:T41"/>
    <mergeCell ref="V2:Y2"/>
    <mergeCell ref="Z2:AC2"/>
    <mergeCell ref="C5:G5"/>
    <mergeCell ref="B2:E2"/>
    <mergeCell ref="F2:I2"/>
    <mergeCell ref="J2:M2"/>
  </mergeCells>
  <phoneticPr fontId="1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163F5-F058-4F58-B10D-42316CD0AC51}">
  <dimension ref="B1:W40"/>
  <sheetViews>
    <sheetView tabSelected="1" topLeftCell="B1" workbookViewId="0">
      <selection activeCell="B15" sqref="B15"/>
    </sheetView>
  </sheetViews>
  <sheetFormatPr defaultRowHeight="15" x14ac:dyDescent="0.25"/>
  <cols>
    <col min="2" max="2" width="15.140625" customWidth="1"/>
    <col min="3" max="3" width="8.28515625" customWidth="1"/>
    <col min="4" max="4" width="16.140625" bestFit="1" customWidth="1"/>
    <col min="5" max="5" width="16.140625" customWidth="1"/>
    <col min="6" max="17" width="12.7109375" customWidth="1"/>
    <col min="18" max="18" width="12.42578125" hidden="1" customWidth="1"/>
    <col min="19" max="19" width="12.28515625" hidden="1" customWidth="1"/>
    <col min="20" max="20" width="13.140625" hidden="1" customWidth="1"/>
    <col min="21" max="21" width="2.42578125" hidden="1" customWidth="1"/>
    <col min="22" max="22" width="12.42578125" hidden="1" customWidth="1"/>
    <col min="23" max="23" width="12.28515625" hidden="1" customWidth="1"/>
  </cols>
  <sheetData>
    <row r="1" spans="2:23" ht="15.75" thickBot="1" x14ac:dyDescent="0.3"/>
    <row r="2" spans="2:23" ht="16.5" thickBot="1" x14ac:dyDescent="0.3">
      <c r="B2" s="108" t="s">
        <v>68</v>
      </c>
      <c r="C2" s="108"/>
      <c r="F2" s="109" t="s">
        <v>74</v>
      </c>
      <c r="G2" s="110"/>
      <c r="H2" s="111"/>
    </row>
    <row r="3" spans="2:23" ht="15.75" thickBot="1" x14ac:dyDescent="0.3">
      <c r="B3" s="70" t="s">
        <v>93</v>
      </c>
      <c r="F3" s="116" t="s">
        <v>84</v>
      </c>
      <c r="G3" s="117"/>
      <c r="H3" s="118"/>
      <c r="I3" s="113" t="s">
        <v>76</v>
      </c>
      <c r="J3" s="114"/>
      <c r="K3" s="114"/>
      <c r="L3" s="114"/>
      <c r="M3" s="114"/>
      <c r="N3" s="115"/>
    </row>
    <row r="4" spans="2:23" ht="15.75" thickBot="1" x14ac:dyDescent="0.3">
      <c r="I4" s="116" t="s">
        <v>77</v>
      </c>
      <c r="J4" s="117"/>
      <c r="K4" s="117"/>
      <c r="L4" s="117"/>
      <c r="M4" s="117"/>
      <c r="N4" s="118"/>
    </row>
    <row r="5" spans="2:23" ht="15.75" thickBot="1" x14ac:dyDescent="0.3">
      <c r="I5" s="29"/>
      <c r="J5" s="29"/>
      <c r="K5" s="29"/>
      <c r="L5" s="29"/>
      <c r="M5" s="29"/>
      <c r="N5" s="113" t="s">
        <v>78</v>
      </c>
      <c r="O5" s="114"/>
      <c r="P5" s="115"/>
    </row>
    <row r="6" spans="2:23" ht="15.75" thickBot="1" x14ac:dyDescent="0.3">
      <c r="N6" s="125" t="s">
        <v>73</v>
      </c>
      <c r="O6" s="126"/>
      <c r="P6" s="127"/>
    </row>
    <row r="7" spans="2:23" x14ac:dyDescent="0.25">
      <c r="N7" s="29"/>
      <c r="O7" s="29"/>
      <c r="P7" s="29"/>
    </row>
    <row r="8" spans="2:23" ht="15.75" thickBot="1" x14ac:dyDescent="0.3">
      <c r="F8" s="117" t="s">
        <v>111</v>
      </c>
      <c r="G8" s="117"/>
      <c r="H8" s="117"/>
      <c r="I8" s="117"/>
      <c r="J8" s="117" t="s">
        <v>112</v>
      </c>
      <c r="K8" s="117"/>
      <c r="L8" s="117"/>
      <c r="M8" s="117"/>
      <c r="N8" s="29"/>
      <c r="O8" s="29"/>
      <c r="P8" s="29"/>
    </row>
    <row r="9" spans="2:23" ht="15.75" thickBot="1" x14ac:dyDescent="0.3">
      <c r="D9" s="53" t="s">
        <v>92</v>
      </c>
      <c r="E9" s="128" t="s">
        <v>110</v>
      </c>
      <c r="F9" s="51">
        <v>1</v>
      </c>
      <c r="G9" s="51">
        <v>2</v>
      </c>
      <c r="H9" s="51">
        <v>3</v>
      </c>
      <c r="I9" s="51">
        <v>4</v>
      </c>
      <c r="J9" s="51">
        <v>5</v>
      </c>
      <c r="K9" s="51">
        <v>6</v>
      </c>
      <c r="L9" s="51">
        <v>7</v>
      </c>
      <c r="M9" s="51">
        <v>8</v>
      </c>
      <c r="N9" s="51">
        <v>9</v>
      </c>
      <c r="O9" s="51">
        <v>10</v>
      </c>
      <c r="P9" s="52">
        <v>11</v>
      </c>
      <c r="Q9" s="52">
        <v>12</v>
      </c>
    </row>
    <row r="10" spans="2:23" ht="15.75" thickBot="1" x14ac:dyDescent="0.3">
      <c r="R10" s="61" t="s">
        <v>81</v>
      </c>
      <c r="S10" s="62" t="s">
        <v>80</v>
      </c>
      <c r="T10" s="63" t="s">
        <v>79</v>
      </c>
      <c r="V10" s="61" t="s">
        <v>82</v>
      </c>
      <c r="W10" s="63" t="s">
        <v>83</v>
      </c>
    </row>
    <row r="11" spans="2:23" x14ac:dyDescent="0.25">
      <c r="B11" s="135" t="s">
        <v>113</v>
      </c>
      <c r="C11" s="136"/>
      <c r="D11" s="54" t="s">
        <v>86</v>
      </c>
      <c r="E11" s="129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R11" s="64">
        <f>SUM(F11:Q11)</f>
        <v>0</v>
      </c>
      <c r="S11" s="59">
        <v>235</v>
      </c>
      <c r="T11" s="57">
        <f>R11*S11</f>
        <v>0</v>
      </c>
      <c r="V11" s="64">
        <v>60</v>
      </c>
      <c r="W11" s="68">
        <f>T21/V11</f>
        <v>0</v>
      </c>
    </row>
    <row r="12" spans="2:23" ht="15.75" customHeight="1" x14ac:dyDescent="0.25">
      <c r="B12" s="135"/>
      <c r="C12" s="136"/>
      <c r="D12" s="55" t="s">
        <v>69</v>
      </c>
      <c r="E12" s="29"/>
      <c r="F12" s="31"/>
      <c r="G12" s="31"/>
      <c r="H12" s="31"/>
      <c r="I12" s="31"/>
      <c r="J12" s="31"/>
      <c r="K12" s="31"/>
      <c r="L12" s="31"/>
      <c r="M12" s="31"/>
      <c r="N12" s="31"/>
      <c r="O12" s="32"/>
      <c r="P12" s="32"/>
      <c r="R12" s="64">
        <f t="shared" ref="R12:R15" si="0">SUM(F12:Q12)</f>
        <v>0</v>
      </c>
      <c r="S12" s="59">
        <v>300</v>
      </c>
      <c r="T12" s="57">
        <f t="shared" ref="T12:T15" si="1">R12*S12</f>
        <v>0</v>
      </c>
      <c r="V12" s="64">
        <v>75</v>
      </c>
      <c r="W12" s="68">
        <f>T21/V12</f>
        <v>0</v>
      </c>
    </row>
    <row r="13" spans="2:23" ht="15.75" customHeight="1" x14ac:dyDescent="0.25">
      <c r="D13" s="55" t="s">
        <v>108</v>
      </c>
      <c r="E13" s="29"/>
      <c r="F13" s="133"/>
      <c r="G13" s="133"/>
      <c r="H13" s="133"/>
      <c r="I13" s="31"/>
      <c r="J13" s="31"/>
      <c r="K13" s="31"/>
      <c r="L13" s="31"/>
      <c r="M13" s="31"/>
      <c r="N13" s="31"/>
      <c r="O13" s="32"/>
      <c r="P13" s="32"/>
      <c r="R13" s="64"/>
      <c r="S13" s="59"/>
      <c r="T13" s="57"/>
      <c r="V13" s="64"/>
      <c r="W13" s="68"/>
    </row>
    <row r="14" spans="2:23" x14ac:dyDescent="0.25">
      <c r="D14" s="55" t="s">
        <v>109</v>
      </c>
      <c r="E14" s="29"/>
      <c r="F14" s="133"/>
      <c r="G14" s="133"/>
      <c r="H14" s="133"/>
      <c r="I14" s="133"/>
      <c r="J14" s="133"/>
      <c r="K14" s="75"/>
      <c r="L14" s="75"/>
      <c r="M14" s="75"/>
      <c r="N14" s="75"/>
      <c r="O14" s="75"/>
      <c r="P14" s="75"/>
      <c r="R14" s="64">
        <f t="shared" si="0"/>
        <v>0</v>
      </c>
      <c r="S14" s="59">
        <v>195</v>
      </c>
      <c r="T14" s="57">
        <f t="shared" si="1"/>
        <v>0</v>
      </c>
      <c r="V14" s="64">
        <v>100</v>
      </c>
      <c r="W14" s="68">
        <f>T21/V14</f>
        <v>0</v>
      </c>
    </row>
    <row r="15" spans="2:23" ht="15.75" thickBot="1" x14ac:dyDescent="0.3">
      <c r="D15" s="56" t="s">
        <v>71</v>
      </c>
      <c r="E15" s="77"/>
      <c r="F15" s="34"/>
      <c r="G15" s="35"/>
      <c r="H15" s="35"/>
      <c r="I15" s="134"/>
      <c r="J15" s="134"/>
      <c r="K15" s="134"/>
      <c r="L15" s="134"/>
      <c r="M15" s="134"/>
      <c r="N15" s="134"/>
      <c r="O15" s="134"/>
      <c r="P15" s="134"/>
      <c r="R15" s="42">
        <f t="shared" si="0"/>
        <v>0</v>
      </c>
      <c r="S15" s="60">
        <v>145</v>
      </c>
      <c r="T15" s="58">
        <f t="shared" si="1"/>
        <v>0</v>
      </c>
      <c r="V15" s="42">
        <v>150</v>
      </c>
      <c r="W15" s="69">
        <f>T21/V15</f>
        <v>0</v>
      </c>
    </row>
    <row r="16" spans="2:23" x14ac:dyDescent="0.25">
      <c r="D16" s="29"/>
      <c r="E16" s="29"/>
      <c r="F16" s="32"/>
      <c r="G16" s="75"/>
      <c r="H16" s="75"/>
      <c r="I16" s="133"/>
      <c r="J16" s="133"/>
      <c r="K16" s="133"/>
      <c r="L16" s="133"/>
      <c r="M16" s="133"/>
      <c r="N16" s="133"/>
      <c r="O16" s="133"/>
      <c r="P16" s="133"/>
      <c r="R16" s="29"/>
      <c r="S16" s="59"/>
      <c r="T16" s="59"/>
      <c r="V16" s="29"/>
      <c r="W16" s="76"/>
    </row>
    <row r="17" spans="4:23" x14ac:dyDescent="0.25">
      <c r="D17" s="29"/>
      <c r="E17" s="29"/>
      <c r="F17" s="32"/>
      <c r="G17" s="75"/>
      <c r="H17" s="75"/>
      <c r="I17" s="133"/>
      <c r="J17" s="133"/>
      <c r="K17" s="133"/>
      <c r="L17" s="133"/>
      <c r="M17" s="133"/>
      <c r="N17" s="133"/>
      <c r="O17" s="133"/>
      <c r="P17" s="133"/>
      <c r="R17" s="29"/>
      <c r="S17" s="59"/>
      <c r="T17" s="59"/>
      <c r="V17" s="29"/>
      <c r="W17" s="76"/>
    </row>
    <row r="18" spans="4:23" x14ac:dyDescent="0.25">
      <c r="D18" s="29"/>
      <c r="E18" s="29"/>
      <c r="F18" s="32"/>
      <c r="G18" s="75"/>
      <c r="H18" s="75"/>
      <c r="I18" s="133"/>
      <c r="J18" s="133"/>
      <c r="K18" s="133"/>
      <c r="L18" s="133"/>
      <c r="M18" s="133"/>
      <c r="N18" s="133"/>
      <c r="O18" s="133"/>
      <c r="P18" s="133"/>
      <c r="R18" s="29"/>
      <c r="S18" s="59"/>
      <c r="T18" s="59"/>
      <c r="V18" s="29"/>
      <c r="W18" s="76"/>
    </row>
    <row r="19" spans="4:23" x14ac:dyDescent="0.25">
      <c r="D19" s="29"/>
      <c r="E19" s="29"/>
      <c r="F19" s="32"/>
      <c r="G19" s="75"/>
      <c r="H19" s="75"/>
      <c r="I19" s="133"/>
      <c r="J19" s="133"/>
      <c r="K19" s="133"/>
      <c r="L19" s="133"/>
      <c r="M19" s="133"/>
      <c r="N19" s="133"/>
      <c r="O19" s="133"/>
      <c r="P19" s="133"/>
      <c r="R19" s="29"/>
      <c r="S19" s="59"/>
      <c r="T19" s="59"/>
      <c r="V19" s="29"/>
      <c r="W19" s="76"/>
    </row>
    <row r="20" spans="4:23" x14ac:dyDescent="0.25">
      <c r="D20" s="29"/>
      <c r="E20" s="29"/>
      <c r="F20" s="32"/>
      <c r="G20" s="75"/>
      <c r="H20" s="75"/>
      <c r="I20" s="133"/>
      <c r="J20" s="133"/>
      <c r="K20" s="133"/>
      <c r="L20" s="133"/>
      <c r="M20" s="133"/>
      <c r="N20" s="133"/>
      <c r="O20" s="133"/>
      <c r="P20" s="133"/>
      <c r="R20" s="29"/>
      <c r="S20" s="59"/>
      <c r="T20" s="59"/>
      <c r="V20" s="29"/>
      <c r="W20" s="76"/>
    </row>
    <row r="21" spans="4:23" ht="15.75" customHeight="1" thickBot="1" x14ac:dyDescent="0.3">
      <c r="T21" s="67">
        <f>SUM(T11:T15)</f>
        <v>0</v>
      </c>
    </row>
    <row r="22" spans="4:23" ht="15.75" thickBot="1" x14ac:dyDescent="0.3">
      <c r="D22" s="106" t="s">
        <v>75</v>
      </c>
      <c r="E22" s="130"/>
      <c r="F22" s="37"/>
      <c r="G22" s="37"/>
      <c r="H22" s="37"/>
      <c r="I22" s="119" t="s">
        <v>40</v>
      </c>
      <c r="J22" s="120"/>
      <c r="K22" s="120"/>
      <c r="L22" s="121"/>
      <c r="M22" s="37"/>
      <c r="N22" s="37"/>
      <c r="O22" s="37"/>
      <c r="P22" s="38"/>
    </row>
    <row r="23" spans="4:23" ht="15.75" thickBot="1" x14ac:dyDescent="0.3">
      <c r="D23" s="112"/>
      <c r="E23" s="131"/>
      <c r="F23" s="32"/>
      <c r="G23" s="32"/>
      <c r="H23" s="32"/>
      <c r="I23" s="47" t="s">
        <v>72</v>
      </c>
      <c r="J23" s="48" t="s">
        <v>38</v>
      </c>
      <c r="K23" s="48" t="s">
        <v>35</v>
      </c>
      <c r="L23" s="49" t="s">
        <v>36</v>
      </c>
      <c r="M23" s="32"/>
      <c r="N23" s="32"/>
      <c r="O23" s="32"/>
      <c r="P23" s="33"/>
    </row>
    <row r="24" spans="4:23" ht="15.75" thickBot="1" x14ac:dyDescent="0.3">
      <c r="D24" s="112"/>
      <c r="E24" s="131"/>
      <c r="F24" s="32"/>
      <c r="G24" s="32"/>
      <c r="H24" s="32"/>
      <c r="I24" s="7"/>
      <c r="J24" s="7"/>
      <c r="K24" s="7"/>
      <c r="L24" s="7"/>
      <c r="M24" s="7"/>
      <c r="N24" s="32"/>
      <c r="O24" s="32"/>
      <c r="P24" s="33"/>
    </row>
    <row r="25" spans="4:23" ht="15.75" thickBot="1" x14ac:dyDescent="0.3">
      <c r="D25" s="112"/>
      <c r="E25" s="131"/>
      <c r="F25" s="32"/>
      <c r="G25" s="32"/>
      <c r="H25" s="32"/>
      <c r="I25" s="32"/>
      <c r="J25" s="32"/>
      <c r="K25" s="122" t="s">
        <v>41</v>
      </c>
      <c r="L25" s="123"/>
      <c r="M25" s="123"/>
      <c r="N25" s="124"/>
      <c r="O25" s="32"/>
      <c r="P25" s="33"/>
    </row>
    <row r="26" spans="4:23" ht="15.75" thickBot="1" x14ac:dyDescent="0.3">
      <c r="D26" s="107"/>
      <c r="E26" s="132"/>
      <c r="F26" s="34"/>
      <c r="G26" s="34"/>
      <c r="H26" s="34"/>
      <c r="I26" s="34"/>
      <c r="J26" s="34"/>
      <c r="K26" s="45" t="s">
        <v>72</v>
      </c>
      <c r="L26" s="39" t="s">
        <v>38</v>
      </c>
      <c r="M26" s="39" t="s">
        <v>35</v>
      </c>
      <c r="N26" s="46" t="s">
        <v>36</v>
      </c>
      <c r="O26" s="34"/>
      <c r="P26" s="40"/>
    </row>
    <row r="28" spans="4:23" ht="15.75" thickBot="1" x14ac:dyDescent="0.3"/>
    <row r="29" spans="4:23" x14ac:dyDescent="0.25">
      <c r="D29" s="106" t="s">
        <v>85</v>
      </c>
      <c r="E29" s="130"/>
      <c r="F29" s="37"/>
      <c r="G29" s="37"/>
      <c r="H29" s="37"/>
      <c r="I29" s="37"/>
      <c r="J29" s="50"/>
      <c r="K29" s="50"/>
      <c r="L29" s="37"/>
      <c r="M29" s="37"/>
      <c r="N29" s="37"/>
      <c r="O29" s="37"/>
      <c r="P29" s="38"/>
      <c r="R29" s="65" t="s">
        <v>89</v>
      </c>
      <c r="S29" s="43" t="s">
        <v>79</v>
      </c>
    </row>
    <row r="30" spans="4:23" ht="15.75" thickBot="1" x14ac:dyDescent="0.3">
      <c r="D30" s="107"/>
      <c r="E30" s="132"/>
      <c r="F30" s="34"/>
      <c r="G30" s="34"/>
      <c r="H30" s="34"/>
      <c r="I30" s="34"/>
      <c r="J30" s="34"/>
      <c r="K30" s="34"/>
      <c r="L30" s="41"/>
      <c r="M30" s="41"/>
      <c r="N30" s="34"/>
      <c r="O30" s="34"/>
      <c r="P30" s="40"/>
      <c r="R30" s="66" t="s">
        <v>90</v>
      </c>
      <c r="S30" s="44" t="s">
        <v>91</v>
      </c>
    </row>
    <row r="36" spans="12:13" x14ac:dyDescent="0.25">
      <c r="L36" t="s">
        <v>103</v>
      </c>
    </row>
    <row r="37" spans="12:13" x14ac:dyDescent="0.25">
      <c r="L37" s="24"/>
    </row>
    <row r="38" spans="12:13" x14ac:dyDescent="0.25">
      <c r="L38" t="s">
        <v>104</v>
      </c>
      <c r="M38" t="s">
        <v>107</v>
      </c>
    </row>
    <row r="39" spans="12:13" x14ac:dyDescent="0.25">
      <c r="L39" t="s">
        <v>105</v>
      </c>
    </row>
    <row r="40" spans="12:13" x14ac:dyDescent="0.25">
      <c r="L40" t="s">
        <v>106</v>
      </c>
    </row>
  </sheetData>
  <mergeCells count="14">
    <mergeCell ref="D29:D30"/>
    <mergeCell ref="B2:C2"/>
    <mergeCell ref="F2:H2"/>
    <mergeCell ref="D22:D26"/>
    <mergeCell ref="I3:N3"/>
    <mergeCell ref="N5:P5"/>
    <mergeCell ref="F3:H3"/>
    <mergeCell ref="I22:L22"/>
    <mergeCell ref="K25:N25"/>
    <mergeCell ref="I4:N4"/>
    <mergeCell ref="N6:P6"/>
    <mergeCell ref="F8:I8"/>
    <mergeCell ref="J8:M8"/>
    <mergeCell ref="B11:C1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0036E-B022-48F9-A13E-0FFE2E0B735A}">
  <dimension ref="B1:V30"/>
  <sheetViews>
    <sheetView workbookViewId="0">
      <selection activeCell="N29" sqref="N29"/>
    </sheetView>
  </sheetViews>
  <sheetFormatPr defaultRowHeight="15" x14ac:dyDescent="0.25"/>
  <cols>
    <col min="2" max="2" width="15.140625" customWidth="1"/>
    <col min="3" max="3" width="13.85546875" customWidth="1"/>
    <col min="4" max="4" width="16.140625" bestFit="1" customWidth="1"/>
    <col min="5" max="15" width="12.7109375" customWidth="1"/>
    <col min="16" max="16" width="3.140625" customWidth="1"/>
    <col min="17" max="17" width="12.42578125" bestFit="1" customWidth="1"/>
    <col min="18" max="18" width="12.28515625" bestFit="1" customWidth="1"/>
    <col min="19" max="19" width="13.140625" bestFit="1" customWidth="1"/>
    <col min="20" max="20" width="2.42578125" customWidth="1"/>
    <col min="21" max="21" width="12.42578125" bestFit="1" customWidth="1"/>
    <col min="22" max="22" width="12.28515625" bestFit="1" customWidth="1"/>
  </cols>
  <sheetData>
    <row r="1" spans="2:22" ht="15.75" thickBot="1" x14ac:dyDescent="0.3"/>
    <row r="2" spans="2:22" ht="16.5" thickBot="1" x14ac:dyDescent="0.3">
      <c r="B2" s="108" t="s">
        <v>95</v>
      </c>
      <c r="C2" s="108"/>
      <c r="E2" s="109" t="s">
        <v>74</v>
      </c>
      <c r="F2" s="110"/>
      <c r="G2" s="111"/>
    </row>
    <row r="3" spans="2:22" ht="15.75" thickBot="1" x14ac:dyDescent="0.3">
      <c r="B3" s="70" t="s">
        <v>94</v>
      </c>
      <c r="E3" s="116" t="s">
        <v>84</v>
      </c>
      <c r="F3" s="117"/>
      <c r="G3" s="118"/>
      <c r="H3" s="113" t="s">
        <v>76</v>
      </c>
      <c r="I3" s="114"/>
      <c r="J3" s="114"/>
      <c r="K3" s="114"/>
      <c r="L3" s="114"/>
      <c r="M3" s="115"/>
    </row>
    <row r="4" spans="2:22" ht="15.75" thickBot="1" x14ac:dyDescent="0.3">
      <c r="H4" s="116" t="s">
        <v>77</v>
      </c>
      <c r="I4" s="117"/>
      <c r="J4" s="117"/>
      <c r="K4" s="117"/>
      <c r="L4" s="117"/>
      <c r="M4" s="118"/>
    </row>
    <row r="5" spans="2:22" ht="15.75" thickBot="1" x14ac:dyDescent="0.3">
      <c r="H5" s="29"/>
      <c r="I5" s="29"/>
      <c r="J5" s="29"/>
      <c r="K5" s="29"/>
      <c r="L5" s="29"/>
      <c r="M5" s="113" t="s">
        <v>78</v>
      </c>
      <c r="N5" s="114"/>
      <c r="O5" s="115"/>
    </row>
    <row r="6" spans="2:22" ht="15.75" thickBot="1" x14ac:dyDescent="0.3">
      <c r="M6" s="125" t="s">
        <v>73</v>
      </c>
      <c r="N6" s="126"/>
      <c r="O6" s="127"/>
    </row>
    <row r="7" spans="2:22" ht="15.75" thickBot="1" x14ac:dyDescent="0.3">
      <c r="M7" s="29"/>
      <c r="N7" s="29"/>
      <c r="O7" s="29"/>
    </row>
    <row r="8" spans="2:22" ht="15.75" thickBot="1" x14ac:dyDescent="0.3">
      <c r="D8" s="53" t="s">
        <v>92</v>
      </c>
      <c r="E8" s="51">
        <v>1</v>
      </c>
      <c r="F8" s="51">
        <v>2</v>
      </c>
      <c r="G8" s="51">
        <v>3</v>
      </c>
      <c r="H8" s="51">
        <v>4</v>
      </c>
      <c r="I8" s="51">
        <v>5</v>
      </c>
      <c r="J8" s="51">
        <v>6</v>
      </c>
      <c r="K8" s="51">
        <v>7</v>
      </c>
      <c r="L8" s="51">
        <v>8</v>
      </c>
      <c r="M8" s="51">
        <v>9</v>
      </c>
      <c r="N8" s="51">
        <v>10</v>
      </c>
      <c r="O8" s="52">
        <v>11</v>
      </c>
    </row>
    <row r="9" spans="2:22" ht="15.75" thickBot="1" x14ac:dyDescent="0.3">
      <c r="Q9" s="61" t="s">
        <v>81</v>
      </c>
      <c r="R9" s="62" t="s">
        <v>80</v>
      </c>
      <c r="S9" s="63" t="s">
        <v>79</v>
      </c>
      <c r="U9" s="61" t="s">
        <v>82</v>
      </c>
      <c r="V9" s="63" t="s">
        <v>83</v>
      </c>
    </row>
    <row r="10" spans="2:22" x14ac:dyDescent="0.25">
      <c r="D10" s="54" t="s">
        <v>86</v>
      </c>
      <c r="E10" s="30">
        <v>20</v>
      </c>
      <c r="F10" s="30">
        <v>20</v>
      </c>
      <c r="G10" s="30">
        <v>20</v>
      </c>
      <c r="H10" s="30">
        <v>20</v>
      </c>
      <c r="I10" s="30">
        <v>20</v>
      </c>
      <c r="J10" s="30">
        <v>20</v>
      </c>
      <c r="K10" s="30">
        <v>20</v>
      </c>
      <c r="L10" s="30">
        <v>20</v>
      </c>
      <c r="M10" s="30"/>
      <c r="N10" s="30"/>
      <c r="O10" s="30"/>
      <c r="Q10" s="64">
        <f>SUM(E10:P10)</f>
        <v>160</v>
      </c>
      <c r="R10" s="59">
        <v>235</v>
      </c>
      <c r="S10" s="57">
        <f>Q10*R10</f>
        <v>37600</v>
      </c>
      <c r="U10" s="64">
        <v>60</v>
      </c>
      <c r="V10" s="68">
        <f>S14/U10</f>
        <v>1013.3333333333334</v>
      </c>
    </row>
    <row r="11" spans="2:22" ht="15.75" customHeight="1" x14ac:dyDescent="0.25">
      <c r="D11" s="55" t="s">
        <v>69</v>
      </c>
      <c r="E11" s="31"/>
      <c r="F11" s="31"/>
      <c r="G11" s="31"/>
      <c r="H11" s="31"/>
      <c r="I11" s="31"/>
      <c r="J11" s="31"/>
      <c r="K11" s="31"/>
      <c r="L11" s="31"/>
      <c r="M11" s="31"/>
      <c r="N11" s="32"/>
      <c r="O11" s="33"/>
      <c r="Q11" s="64">
        <f t="shared" ref="Q11:Q13" si="0">SUM(E11:P11)</f>
        <v>0</v>
      </c>
      <c r="R11" s="59">
        <v>300</v>
      </c>
      <c r="S11" s="57">
        <f t="shared" ref="S11:S13" si="1">Q11*R11</f>
        <v>0</v>
      </c>
      <c r="U11" s="64">
        <v>75</v>
      </c>
      <c r="V11" s="68">
        <f>S14/U11</f>
        <v>810.66666666666663</v>
      </c>
    </row>
    <row r="12" spans="2:22" x14ac:dyDescent="0.25">
      <c r="D12" s="55" t="s">
        <v>70</v>
      </c>
      <c r="E12" s="31"/>
      <c r="F12" s="31"/>
      <c r="G12" s="31"/>
      <c r="H12" s="31"/>
      <c r="I12" s="31"/>
      <c r="J12" s="32"/>
      <c r="K12" s="32"/>
      <c r="L12" s="32"/>
      <c r="M12" s="32"/>
      <c r="N12" s="32"/>
      <c r="O12" s="33"/>
      <c r="Q12" s="64">
        <f t="shared" si="0"/>
        <v>0</v>
      </c>
      <c r="R12" s="59">
        <v>195</v>
      </c>
      <c r="S12" s="57">
        <f t="shared" si="1"/>
        <v>0</v>
      </c>
      <c r="U12" s="64">
        <v>100</v>
      </c>
      <c r="V12" s="68">
        <f>S14/U12</f>
        <v>608</v>
      </c>
    </row>
    <row r="13" spans="2:22" ht="15.75" thickBot="1" x14ac:dyDescent="0.3">
      <c r="D13" s="56" t="s">
        <v>71</v>
      </c>
      <c r="E13" s="36">
        <v>20</v>
      </c>
      <c r="F13" s="36">
        <v>20</v>
      </c>
      <c r="G13" s="36">
        <v>20</v>
      </c>
      <c r="H13" s="36">
        <v>20</v>
      </c>
      <c r="I13" s="36">
        <v>20</v>
      </c>
      <c r="J13" s="36">
        <v>20</v>
      </c>
      <c r="K13" s="36">
        <v>20</v>
      </c>
      <c r="L13" s="36">
        <v>20</v>
      </c>
      <c r="M13" s="36"/>
      <c r="N13" s="36"/>
      <c r="O13" s="36"/>
      <c r="Q13" s="71">
        <f t="shared" si="0"/>
        <v>160</v>
      </c>
      <c r="R13" s="60">
        <v>145</v>
      </c>
      <c r="S13" s="58">
        <f t="shared" si="1"/>
        <v>23200</v>
      </c>
      <c r="U13" s="71">
        <v>150</v>
      </c>
      <c r="V13" s="69">
        <f>S14/U13</f>
        <v>405.33333333333331</v>
      </c>
    </row>
    <row r="14" spans="2:22" ht="15.75" customHeight="1" thickBot="1" x14ac:dyDescent="0.3">
      <c r="S14" s="67">
        <f>SUM(S10:S13)</f>
        <v>60800</v>
      </c>
    </row>
    <row r="15" spans="2:22" ht="15.75" thickBot="1" x14ac:dyDescent="0.3">
      <c r="D15" s="106" t="s">
        <v>75</v>
      </c>
      <c r="E15" s="37"/>
      <c r="F15" s="37"/>
      <c r="G15" s="37"/>
      <c r="H15" s="119" t="s">
        <v>40</v>
      </c>
      <c r="I15" s="120"/>
      <c r="J15" s="120"/>
      <c r="K15" s="121"/>
      <c r="L15" s="37"/>
      <c r="M15" s="37"/>
      <c r="N15" s="37"/>
      <c r="O15" s="38"/>
      <c r="U15" s="72">
        <v>20</v>
      </c>
      <c r="V15" s="73">
        <f>S14/U15</f>
        <v>3040</v>
      </c>
    </row>
    <row r="16" spans="2:22" ht="15.75" thickBot="1" x14ac:dyDescent="0.3">
      <c r="D16" s="112"/>
      <c r="E16" s="32"/>
      <c r="F16" s="32"/>
      <c r="G16" s="32"/>
      <c r="H16" s="47" t="s">
        <v>72</v>
      </c>
      <c r="I16" s="48" t="s">
        <v>38</v>
      </c>
      <c r="J16" s="48" t="s">
        <v>35</v>
      </c>
      <c r="K16" s="49" t="s">
        <v>36</v>
      </c>
      <c r="L16" s="32"/>
      <c r="M16" s="32"/>
      <c r="N16" s="32"/>
      <c r="O16" s="33"/>
      <c r="U16" s="72">
        <v>50</v>
      </c>
      <c r="V16" s="73">
        <f>S14/U16</f>
        <v>1216</v>
      </c>
    </row>
    <row r="17" spans="4:22" ht="15.75" thickBot="1" x14ac:dyDescent="0.3">
      <c r="D17" s="112"/>
      <c r="E17" s="32"/>
      <c r="F17" s="32"/>
      <c r="G17" s="32"/>
      <c r="H17" s="7"/>
      <c r="I17" s="7"/>
      <c r="J17" s="7"/>
      <c r="K17" s="7"/>
      <c r="L17" s="7"/>
      <c r="M17" s="32"/>
      <c r="N17" s="32"/>
      <c r="O17" s="33"/>
    </row>
    <row r="18" spans="4:22" ht="15.75" thickBot="1" x14ac:dyDescent="0.3">
      <c r="D18" s="112"/>
      <c r="E18" s="32"/>
      <c r="F18" s="32"/>
      <c r="G18" s="32"/>
      <c r="H18" s="32"/>
      <c r="I18" s="32"/>
      <c r="J18" s="122"/>
      <c r="K18" s="123"/>
      <c r="L18" s="123"/>
      <c r="M18" s="124"/>
      <c r="N18" s="32"/>
      <c r="O18" s="33"/>
    </row>
    <row r="19" spans="4:22" ht="15.75" thickBot="1" x14ac:dyDescent="0.3">
      <c r="D19" s="107"/>
      <c r="E19" s="34"/>
      <c r="F19" s="34"/>
      <c r="G19" s="34"/>
      <c r="H19" s="34"/>
      <c r="I19" s="34"/>
      <c r="J19" s="45"/>
      <c r="K19" s="39"/>
      <c r="L19" s="39"/>
      <c r="M19" s="46"/>
      <c r="N19" s="34"/>
      <c r="O19" s="40"/>
    </row>
    <row r="21" spans="4:22" ht="15.75" thickBot="1" x14ac:dyDescent="0.3">
      <c r="U21">
        <v>20</v>
      </c>
      <c r="V21">
        <f>U21*500</f>
        <v>10000</v>
      </c>
    </row>
    <row r="22" spans="4:22" x14ac:dyDescent="0.25">
      <c r="D22" s="106" t="s">
        <v>85</v>
      </c>
      <c r="E22" s="37"/>
      <c r="F22" s="37"/>
      <c r="G22" s="37"/>
      <c r="H22" s="37"/>
      <c r="I22" s="50" t="s">
        <v>88</v>
      </c>
      <c r="J22" s="50" t="s">
        <v>88</v>
      </c>
      <c r="K22" s="37"/>
      <c r="L22" s="37"/>
      <c r="M22" s="37"/>
      <c r="N22" s="37"/>
      <c r="O22" s="38"/>
      <c r="Q22" s="65" t="s">
        <v>89</v>
      </c>
      <c r="R22" s="43" t="s">
        <v>79</v>
      </c>
    </row>
    <row r="23" spans="4:22" ht="15.75" thickBot="1" x14ac:dyDescent="0.3">
      <c r="D23" s="107"/>
      <c r="E23" s="34"/>
      <c r="F23" s="34"/>
      <c r="G23" s="34"/>
      <c r="H23" s="34"/>
      <c r="I23" s="34"/>
      <c r="J23" s="34"/>
      <c r="K23" s="41" t="s">
        <v>87</v>
      </c>
      <c r="L23" s="41" t="s">
        <v>87</v>
      </c>
      <c r="M23" s="34"/>
      <c r="N23" s="34"/>
      <c r="O23" s="40"/>
      <c r="Q23" s="66" t="s">
        <v>90</v>
      </c>
      <c r="R23" s="44" t="s">
        <v>91</v>
      </c>
    </row>
    <row r="27" spans="4:22" x14ac:dyDescent="0.25">
      <c r="G27" t="s">
        <v>99</v>
      </c>
      <c r="H27" s="74" t="s">
        <v>100</v>
      </c>
      <c r="I27" s="74"/>
    </row>
    <row r="28" spans="4:22" x14ac:dyDescent="0.25">
      <c r="G28" t="s">
        <v>96</v>
      </c>
      <c r="H28" t="s">
        <v>101</v>
      </c>
    </row>
    <row r="29" spans="4:22" x14ac:dyDescent="0.25">
      <c r="G29" t="s">
        <v>97</v>
      </c>
      <c r="H29" t="s">
        <v>102</v>
      </c>
    </row>
    <row r="30" spans="4:22" x14ac:dyDescent="0.25">
      <c r="G30" t="s">
        <v>98</v>
      </c>
    </row>
  </sheetData>
  <mergeCells count="11">
    <mergeCell ref="M5:O5"/>
    <mergeCell ref="B2:C2"/>
    <mergeCell ref="E2:G2"/>
    <mergeCell ref="E3:G3"/>
    <mergeCell ref="H3:M3"/>
    <mergeCell ref="H4:M4"/>
    <mergeCell ref="M6:O6"/>
    <mergeCell ref="D15:D19"/>
    <mergeCell ref="H15:K15"/>
    <mergeCell ref="J18:M18"/>
    <mergeCell ref="D22:D2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0C48D-EDEE-4B5E-8226-989C24F1605C}">
  <dimension ref="F6:J37"/>
  <sheetViews>
    <sheetView workbookViewId="0">
      <selection activeCell="H6" sqref="H6:I6"/>
    </sheetView>
  </sheetViews>
  <sheetFormatPr defaultRowHeight="15" x14ac:dyDescent="0.25"/>
  <cols>
    <col min="6" max="6" width="22.7109375" customWidth="1"/>
    <col min="7" max="7" width="21.28515625" customWidth="1"/>
    <col min="8" max="8" width="20.28515625" customWidth="1"/>
    <col min="9" max="9" width="19.28515625" customWidth="1"/>
    <col min="10" max="10" width="52.7109375" customWidth="1"/>
  </cols>
  <sheetData>
    <row r="6" spans="6:10" x14ac:dyDescent="0.25">
      <c r="H6" t="s">
        <v>66</v>
      </c>
      <c r="I6" t="s">
        <v>67</v>
      </c>
    </row>
    <row r="7" spans="6:10" ht="15.75" thickBot="1" x14ac:dyDescent="0.3"/>
    <row r="8" spans="6:10" ht="15.75" thickBot="1" x14ac:dyDescent="0.3">
      <c r="F8" s="80" t="s">
        <v>39</v>
      </c>
      <c r="G8" s="81"/>
      <c r="H8" s="81"/>
      <c r="I8" s="81"/>
      <c r="J8" s="82"/>
    </row>
    <row r="9" spans="6:10" x14ac:dyDescent="0.25">
      <c r="F9" s="22" t="s">
        <v>32</v>
      </c>
      <c r="G9" s="22" t="s">
        <v>33</v>
      </c>
      <c r="H9" s="2" t="s">
        <v>34</v>
      </c>
      <c r="I9" s="2" t="s">
        <v>35</v>
      </c>
      <c r="J9" s="2" t="s">
        <v>36</v>
      </c>
    </row>
    <row r="11" spans="6:10" x14ac:dyDescent="0.25">
      <c r="F11" s="24" t="s">
        <v>63</v>
      </c>
      <c r="G11" s="25" t="s">
        <v>64</v>
      </c>
      <c r="H11" s="26"/>
    </row>
    <row r="12" spans="6:10" x14ac:dyDescent="0.25">
      <c r="F12" s="24" t="s">
        <v>63</v>
      </c>
      <c r="G12" s="25" t="s">
        <v>65</v>
      </c>
      <c r="H12" s="26">
        <v>1</v>
      </c>
      <c r="I12">
        <v>1</v>
      </c>
    </row>
    <row r="13" spans="6:10" x14ac:dyDescent="0.25">
      <c r="F13" s="24" t="s">
        <v>63</v>
      </c>
      <c r="G13" s="25" t="s">
        <v>65</v>
      </c>
      <c r="H13" s="26"/>
    </row>
    <row r="14" spans="6:10" x14ac:dyDescent="0.25">
      <c r="F14" s="24" t="s">
        <v>63</v>
      </c>
      <c r="G14" s="25"/>
      <c r="H14" s="26"/>
    </row>
    <row r="15" spans="6:10" x14ac:dyDescent="0.25">
      <c r="F15" s="24"/>
      <c r="G15" s="25"/>
      <c r="H15" s="26"/>
    </row>
    <row r="16" spans="6:10" x14ac:dyDescent="0.25">
      <c r="F16" s="24"/>
      <c r="G16" s="25"/>
      <c r="H16" s="26">
        <v>54</v>
      </c>
      <c r="I16">
        <v>54</v>
      </c>
    </row>
    <row r="17" spans="6:8" x14ac:dyDescent="0.25">
      <c r="F17" s="24"/>
      <c r="G17" s="25"/>
      <c r="H17" s="26"/>
    </row>
    <row r="18" spans="6:8" x14ac:dyDescent="0.25">
      <c r="F18" s="24"/>
      <c r="G18" s="25"/>
      <c r="H18" s="26"/>
    </row>
    <row r="19" spans="6:8" x14ac:dyDescent="0.25">
      <c r="F19" s="24"/>
      <c r="G19" s="25"/>
      <c r="H19" s="26"/>
    </row>
    <row r="20" spans="6:8" x14ac:dyDescent="0.25">
      <c r="F20" s="24"/>
      <c r="G20" s="25"/>
      <c r="H20" s="26"/>
    </row>
    <row r="21" spans="6:8" x14ac:dyDescent="0.25">
      <c r="F21" s="24"/>
      <c r="G21" s="25"/>
      <c r="H21" s="26"/>
    </row>
    <row r="22" spans="6:8" x14ac:dyDescent="0.25">
      <c r="F22" s="24"/>
      <c r="G22" s="25"/>
      <c r="H22" s="26"/>
    </row>
    <row r="23" spans="6:8" x14ac:dyDescent="0.25">
      <c r="F23" s="24"/>
      <c r="G23" s="25"/>
      <c r="H23" s="26"/>
    </row>
    <row r="24" spans="6:8" x14ac:dyDescent="0.25">
      <c r="F24" s="24"/>
      <c r="G24" s="25"/>
      <c r="H24" s="26"/>
    </row>
    <row r="25" spans="6:8" x14ac:dyDescent="0.25">
      <c r="F25" s="24"/>
      <c r="G25" s="25"/>
      <c r="H25" s="26"/>
    </row>
    <row r="26" spans="6:8" x14ac:dyDescent="0.25">
      <c r="F26" s="24"/>
      <c r="G26" s="25"/>
      <c r="H26" s="26"/>
    </row>
    <row r="27" spans="6:8" x14ac:dyDescent="0.25">
      <c r="F27" s="24"/>
      <c r="G27" s="25"/>
      <c r="H27" s="26"/>
    </row>
    <row r="28" spans="6:8" x14ac:dyDescent="0.25">
      <c r="F28" s="24"/>
      <c r="G28" s="25"/>
      <c r="H28" s="26"/>
    </row>
    <row r="29" spans="6:8" x14ac:dyDescent="0.25">
      <c r="F29" s="24"/>
      <c r="G29" s="25"/>
      <c r="H29" s="26"/>
    </row>
    <row r="30" spans="6:8" x14ac:dyDescent="0.25">
      <c r="G30" s="25"/>
      <c r="H30" s="26"/>
    </row>
    <row r="31" spans="6:8" x14ac:dyDescent="0.25">
      <c r="G31" s="25"/>
      <c r="H31" s="26"/>
    </row>
    <row r="32" spans="6:8" x14ac:dyDescent="0.25">
      <c r="G32" s="25"/>
      <c r="H32" s="26"/>
    </row>
    <row r="33" spans="8:8" x14ac:dyDescent="0.25">
      <c r="H33" s="26"/>
    </row>
    <row r="34" spans="8:8" x14ac:dyDescent="0.25">
      <c r="H34" s="26"/>
    </row>
    <row r="35" spans="8:8" x14ac:dyDescent="0.25">
      <c r="H35" s="26"/>
    </row>
    <row r="36" spans="8:8" x14ac:dyDescent="0.25">
      <c r="H36" s="26"/>
    </row>
    <row r="37" spans="8:8" x14ac:dyDescent="0.25">
      <c r="H37" s="26"/>
    </row>
  </sheetData>
  <mergeCells count="1">
    <mergeCell ref="F8:J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7F05DA607A2A4CAA5FA95AE8B6A4C4" ma:contentTypeVersion="7" ma:contentTypeDescription="Create a new document." ma:contentTypeScope="" ma:versionID="2b1de2b3930e9c636cd8b9c792a53b8e">
  <xsd:schema xmlns:xsd="http://www.w3.org/2001/XMLSchema" xmlns:xs="http://www.w3.org/2001/XMLSchema" xmlns:p="http://schemas.microsoft.com/office/2006/metadata/properties" xmlns:ns2="2c4e1b44-4198-4e94-9bea-673078799ec1" xmlns:ns3="bbc0f3e1-63d8-48db-92f9-b9c2323a3b10" targetNamespace="http://schemas.microsoft.com/office/2006/metadata/properties" ma:root="true" ma:fieldsID="7b73ca05e44a74a406f423556b9535e2" ns2:_="" ns3:_="">
    <xsd:import namespace="2c4e1b44-4198-4e94-9bea-673078799ec1"/>
    <xsd:import namespace="bbc0f3e1-63d8-48db-92f9-b9c2323a3b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e1b44-4198-4e94-9bea-673078799e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c0f3e1-63d8-48db-92f9-b9c2323a3b1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A356C50-7F3C-4694-93B9-DB39193958A9}">
  <ds:schemaRefs>
    <ds:schemaRef ds:uri="http://schemas.microsoft.com/office/2006/metadata/properties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2c4e1b44-4198-4e94-9bea-673078799ec1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60E33C9-F909-4758-8722-EE822A53E3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4e1b44-4198-4e94-9bea-673078799ec1"/>
    <ds:schemaRef ds:uri="bbc0f3e1-63d8-48db-92f9-b9c2323a3b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2B6614-763C-4304-8B39-C7E24300E36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Sheet3 (2)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Mason</dc:creator>
  <cp:keywords/>
  <dc:description/>
  <cp:lastModifiedBy>Mark Hanson</cp:lastModifiedBy>
  <cp:revision/>
  <dcterms:created xsi:type="dcterms:W3CDTF">2020-06-30T21:20:55Z</dcterms:created>
  <dcterms:modified xsi:type="dcterms:W3CDTF">2021-03-26T19:49:15Z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0x010100077F05DA607A2A4CAA5FA95AE8B6A4C4</vt:lpwstr>
  </property>
</Properties>
</file>